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DEJS\"/>
    </mc:Choice>
  </mc:AlternateContent>
  <xr:revisionPtr revIDLastSave="0" documentId="8_{785AD06C-27EC-4570-BF16-4DE84236E778}" xr6:coauthVersionLast="47" xr6:coauthVersionMax="47" xr10:uidLastSave="{00000000-0000-0000-0000-000000000000}"/>
  <bookViews>
    <workbookView xWindow="-110" yWindow="-110" windowWidth="19420" windowHeight="10300" firstSheet="2" activeTab="2" xr2:uid="{BDD0E6BD-26DC-4C3D-B5E9-07BA3DCE42B1}"/>
  </bookViews>
  <sheets>
    <sheet name="DASE DADOS - DISTANCIA" sheetId="1" r:id="rId1"/>
    <sheet name="Tabela 1" sheetId="3" r:id="rId2"/>
    <sheet name="CALCULO CTE" sheetId="2" r:id="rId3"/>
  </sheets>
  <definedNames>
    <definedName name="DadosExternos_3" localSheetId="2" hidden="1">'CALCULO CTE'!$A$1:$G$813</definedName>
    <definedName name="DadosExternos_3" localSheetId="0" hidden="1">'DASE DADOS - DISTANCIA'!$A$1:$J$741</definedName>
    <definedName name="DadosExternos_4" localSheetId="1" hidden="1">'Tabela 1'!$A$1:$C$2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13" i="2" l="1"/>
  <c r="K813" i="2"/>
  <c r="L813" i="2"/>
  <c r="M813" i="2"/>
  <c r="J813" i="2" s="1"/>
  <c r="M812" i="2"/>
  <c r="J812" i="2" s="1"/>
  <c r="I812" i="2"/>
  <c r="L812" i="2" l="1"/>
  <c r="K812" i="2"/>
  <c r="K25" i="2"/>
  <c r="K33" i="2"/>
  <c r="K41" i="2"/>
  <c r="K57" i="2"/>
  <c r="K65" i="2"/>
  <c r="K73" i="2"/>
  <c r="K89" i="2"/>
  <c r="K97" i="2"/>
  <c r="K105" i="2"/>
  <c r="K121" i="2"/>
  <c r="K129" i="2"/>
  <c r="K137" i="2"/>
  <c r="K153" i="2"/>
  <c r="K161" i="2"/>
  <c r="K169" i="2"/>
  <c r="K185" i="2"/>
  <c r="K193" i="2"/>
  <c r="K201" i="2"/>
  <c r="K218" i="2"/>
  <c r="K226" i="2"/>
  <c r="K234" i="2"/>
  <c r="K242" i="2"/>
  <c r="K258" i="2"/>
  <c r="K266" i="2"/>
  <c r="K274" i="2"/>
  <c r="K282" i="2"/>
  <c r="K290" i="2"/>
  <c r="K298" i="2"/>
  <c r="K306" i="2"/>
  <c r="K314" i="2"/>
  <c r="K322" i="2"/>
  <c r="K330" i="2"/>
  <c r="K338" i="2"/>
  <c r="K346" i="2"/>
  <c r="K354" i="2"/>
  <c r="K370" i="2"/>
  <c r="K378" i="2"/>
  <c r="K386" i="2"/>
  <c r="K394" i="2"/>
  <c r="K402" i="2"/>
  <c r="K410" i="2"/>
  <c r="K418" i="2"/>
  <c r="K426" i="2"/>
  <c r="K434" i="2"/>
  <c r="K442" i="2"/>
  <c r="K450" i="2"/>
  <c r="K458" i="2"/>
  <c r="K466" i="2"/>
  <c r="K474" i="2"/>
  <c r="K490" i="2"/>
  <c r="K498" i="2"/>
  <c r="K506" i="2"/>
  <c r="K514" i="2"/>
  <c r="K530" i="2"/>
  <c r="K538" i="2"/>
  <c r="K546" i="2"/>
  <c r="K554" i="2"/>
  <c r="K570" i="2"/>
  <c r="K578" i="2"/>
  <c r="K586" i="2"/>
  <c r="K594" i="2"/>
  <c r="K610" i="2"/>
  <c r="K618" i="2"/>
  <c r="K626" i="2"/>
  <c r="K634" i="2"/>
  <c r="K650" i="2"/>
  <c r="K658" i="2"/>
  <c r="K666" i="2"/>
  <c r="K674" i="2"/>
  <c r="K682" i="2"/>
  <c r="K690" i="2"/>
  <c r="K698" i="2"/>
  <c r="K706" i="2"/>
  <c r="K715" i="2"/>
  <c r="F721" i="2"/>
  <c r="K721" i="2" s="1"/>
  <c r="F722" i="2"/>
  <c r="K722" i="2" s="1"/>
  <c r="F723" i="2"/>
  <c r="K723" i="2" s="1"/>
  <c r="F724" i="2"/>
  <c r="K724" i="2" s="1"/>
  <c r="F725" i="2"/>
  <c r="K725" i="2" s="1"/>
  <c r="F726" i="2"/>
  <c r="K726" i="2" s="1"/>
  <c r="F727" i="2"/>
  <c r="K727" i="2" s="1"/>
  <c r="F728" i="2"/>
  <c r="K728" i="2" s="1"/>
  <c r="F729" i="2"/>
  <c r="K729" i="2" s="1"/>
  <c r="F730" i="2"/>
  <c r="K730" i="2" s="1"/>
  <c r="F731" i="2"/>
  <c r="K731" i="2" s="1"/>
  <c r="F732" i="2"/>
  <c r="K732" i="2" s="1"/>
  <c r="F733" i="2"/>
  <c r="K733" i="2" s="1"/>
  <c r="F734" i="2"/>
  <c r="K734" i="2" s="1"/>
  <c r="F735" i="2"/>
  <c r="K735" i="2" s="1"/>
  <c r="F736" i="2"/>
  <c r="K736" i="2" s="1"/>
  <c r="F737" i="2"/>
  <c r="K737" i="2" s="1"/>
  <c r="F738" i="2"/>
  <c r="K738" i="2" s="1"/>
  <c r="F739" i="2"/>
  <c r="K739" i="2" s="1"/>
  <c r="F740" i="2"/>
  <c r="K740" i="2" s="1"/>
  <c r="F741" i="2"/>
  <c r="K741" i="2" s="1"/>
  <c r="F742" i="2"/>
  <c r="K742" i="2" s="1"/>
  <c r="F743" i="2"/>
  <c r="K743" i="2" s="1"/>
  <c r="F744" i="2"/>
  <c r="K744" i="2" s="1"/>
  <c r="F745" i="2"/>
  <c r="K745" i="2" s="1"/>
  <c r="F746" i="2"/>
  <c r="K746" i="2" s="1"/>
  <c r="F747" i="2"/>
  <c r="K747" i="2" s="1"/>
  <c r="F748" i="2"/>
  <c r="K748" i="2" s="1"/>
  <c r="F749" i="2"/>
  <c r="K749" i="2" s="1"/>
  <c r="F750" i="2"/>
  <c r="K750" i="2" s="1"/>
  <c r="F751" i="2"/>
  <c r="K751" i="2" s="1"/>
  <c r="F752" i="2"/>
  <c r="K752" i="2" s="1"/>
  <c r="F753" i="2"/>
  <c r="K753" i="2" s="1"/>
  <c r="F754" i="2"/>
  <c r="K754" i="2" s="1"/>
  <c r="F755" i="2"/>
  <c r="K755" i="2" s="1"/>
  <c r="F756" i="2"/>
  <c r="K756" i="2" s="1"/>
  <c r="F757" i="2"/>
  <c r="K757" i="2" s="1"/>
  <c r="F758" i="2"/>
  <c r="K758" i="2" s="1"/>
  <c r="F759" i="2"/>
  <c r="K759" i="2" s="1"/>
  <c r="F760" i="2"/>
  <c r="K760" i="2" s="1"/>
  <c r="F761" i="2"/>
  <c r="K761" i="2" s="1"/>
  <c r="F762" i="2"/>
  <c r="K762" i="2" s="1"/>
  <c r="F763" i="2"/>
  <c r="K763" i="2" s="1"/>
  <c r="F764" i="2"/>
  <c r="K764" i="2" s="1"/>
  <c r="F765" i="2"/>
  <c r="K765" i="2" s="1"/>
  <c r="F766" i="2"/>
  <c r="K766" i="2" s="1"/>
  <c r="F767" i="2"/>
  <c r="K767" i="2" s="1"/>
  <c r="F768" i="2"/>
  <c r="K768" i="2" s="1"/>
  <c r="F769" i="2"/>
  <c r="K769" i="2" s="1"/>
  <c r="F770" i="2"/>
  <c r="K770" i="2" s="1"/>
  <c r="F771" i="2"/>
  <c r="K771" i="2" s="1"/>
  <c r="F772" i="2"/>
  <c r="K772" i="2" s="1"/>
  <c r="F773" i="2"/>
  <c r="K773" i="2" s="1"/>
  <c r="F774" i="2"/>
  <c r="K774" i="2" s="1"/>
  <c r="F775" i="2"/>
  <c r="K775" i="2" s="1"/>
  <c r="F776" i="2"/>
  <c r="K776" i="2" s="1"/>
  <c r="F777" i="2"/>
  <c r="K777" i="2" s="1"/>
  <c r="F778" i="2"/>
  <c r="K778" i="2" s="1"/>
  <c r="F779" i="2"/>
  <c r="K779" i="2" s="1"/>
  <c r="F780" i="2"/>
  <c r="K780" i="2" s="1"/>
  <c r="F781" i="2"/>
  <c r="K781" i="2" s="1"/>
  <c r="F782" i="2"/>
  <c r="K782" i="2" s="1"/>
  <c r="F783" i="2"/>
  <c r="K783" i="2" s="1"/>
  <c r="F784" i="2"/>
  <c r="K784" i="2" s="1"/>
  <c r="F785" i="2"/>
  <c r="K785" i="2" s="1"/>
  <c r="F786" i="2"/>
  <c r="K786" i="2" s="1"/>
  <c r="F787" i="2"/>
  <c r="K787" i="2" s="1"/>
  <c r="F788" i="2"/>
  <c r="K788" i="2" s="1"/>
  <c r="F789" i="2"/>
  <c r="K789" i="2" s="1"/>
  <c r="F790" i="2"/>
  <c r="K790" i="2" s="1"/>
  <c r="F791" i="2"/>
  <c r="K791" i="2" s="1"/>
  <c r="F792" i="2"/>
  <c r="K792" i="2" s="1"/>
  <c r="F793" i="2"/>
  <c r="K793" i="2" s="1"/>
  <c r="F794" i="2"/>
  <c r="K794" i="2" s="1"/>
  <c r="F795" i="2"/>
  <c r="K795" i="2" s="1"/>
  <c r="F796" i="2"/>
  <c r="K796" i="2" s="1"/>
  <c r="F797" i="2"/>
  <c r="K797" i="2" s="1"/>
  <c r="F798" i="2"/>
  <c r="K798" i="2" s="1"/>
  <c r="F799" i="2"/>
  <c r="K799" i="2" s="1"/>
  <c r="F800" i="2"/>
  <c r="K800" i="2" s="1"/>
  <c r="F801" i="2"/>
  <c r="K801" i="2" s="1"/>
  <c r="F802" i="2"/>
  <c r="K802" i="2" s="1"/>
  <c r="F803" i="2"/>
  <c r="K803" i="2" s="1"/>
  <c r="F804" i="2"/>
  <c r="K804" i="2" s="1"/>
  <c r="F805" i="2"/>
  <c r="K805" i="2" s="1"/>
  <c r="F806" i="2"/>
  <c r="K806" i="2" s="1"/>
  <c r="F807" i="2"/>
  <c r="K807" i="2" s="1"/>
  <c r="F808" i="2"/>
  <c r="K808" i="2" s="1"/>
  <c r="F809" i="2"/>
  <c r="K809" i="2" s="1"/>
  <c r="F810" i="2"/>
  <c r="K810" i="2" s="1"/>
  <c r="F811" i="2"/>
  <c r="K811" i="2" s="1"/>
  <c r="K24" i="2"/>
  <c r="K32" i="2"/>
  <c r="K40" i="2"/>
  <c r="K48" i="2"/>
  <c r="K49" i="2"/>
  <c r="K56" i="2"/>
  <c r="K64" i="2"/>
  <c r="K72" i="2"/>
  <c r="K80" i="2"/>
  <c r="K81" i="2"/>
  <c r="K88" i="2"/>
  <c r="K96" i="2"/>
  <c r="K104" i="2"/>
  <c r="K112" i="2"/>
  <c r="K113" i="2"/>
  <c r="K120" i="2"/>
  <c r="K128" i="2"/>
  <c r="K136" i="2"/>
  <c r="K144" i="2"/>
  <c r="K145" i="2"/>
  <c r="K152" i="2"/>
  <c r="K160" i="2"/>
  <c r="K168" i="2"/>
  <c r="K176" i="2"/>
  <c r="K177" i="2"/>
  <c r="K184" i="2"/>
  <c r="K192" i="2"/>
  <c r="K200" i="2"/>
  <c r="K209" i="2"/>
  <c r="K210" i="2"/>
  <c r="K217" i="2"/>
  <c r="K225" i="2"/>
  <c r="K233" i="2"/>
  <c r="K250" i="2"/>
  <c r="K257" i="2"/>
  <c r="K265" i="2"/>
  <c r="K273" i="2"/>
  <c r="K281" i="2"/>
  <c r="K289" i="2"/>
  <c r="K297" i="2"/>
  <c r="K321" i="2"/>
  <c r="K329" i="2"/>
  <c r="K337" i="2"/>
  <c r="K345" i="2"/>
  <c r="K353" i="2"/>
  <c r="K361" i="2"/>
  <c r="K362" i="2"/>
  <c r="K385" i="2"/>
  <c r="K393" i="2"/>
  <c r="K401" i="2"/>
  <c r="K409" i="2"/>
  <c r="K417" i="2"/>
  <c r="K425" i="2"/>
  <c r="K449" i="2"/>
  <c r="K457" i="2"/>
  <c r="K465" i="2"/>
  <c r="K473" i="2"/>
  <c r="K481" i="2"/>
  <c r="K482" i="2"/>
  <c r="K489" i="2"/>
  <c r="K513" i="2"/>
  <c r="K521" i="2"/>
  <c r="K529" i="2"/>
  <c r="K537" i="2"/>
  <c r="K545" i="2"/>
  <c r="K553" i="2"/>
  <c r="K562" i="2"/>
  <c r="K577" i="2"/>
  <c r="K585" i="2"/>
  <c r="K593" i="2"/>
  <c r="K601" i="2"/>
  <c r="K602" i="2"/>
  <c r="K609" i="2"/>
  <c r="K617" i="2"/>
  <c r="K641" i="2"/>
  <c r="K642" i="2"/>
  <c r="K649" i="2"/>
  <c r="K657" i="2"/>
  <c r="K665" i="2"/>
  <c r="K673" i="2"/>
  <c r="K681" i="2"/>
  <c r="K705" i="2"/>
  <c r="K714" i="2"/>
  <c r="K52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6" i="2"/>
  <c r="K27" i="2"/>
  <c r="K28" i="2"/>
  <c r="K29" i="2"/>
  <c r="K30" i="2"/>
  <c r="K31" i="2"/>
  <c r="K34" i="2"/>
  <c r="K35" i="2"/>
  <c r="K36" i="2"/>
  <c r="K37" i="2"/>
  <c r="K38" i="2"/>
  <c r="K39" i="2"/>
  <c r="K42" i="2"/>
  <c r="K43" i="2"/>
  <c r="K44" i="2"/>
  <c r="K45" i="2"/>
  <c r="K46" i="2"/>
  <c r="K47" i="2"/>
  <c r="K50" i="2"/>
  <c r="K51" i="2"/>
  <c r="K52" i="2"/>
  <c r="K53" i="2"/>
  <c r="K54" i="2"/>
  <c r="K55" i="2"/>
  <c r="K58" i="2"/>
  <c r="K59" i="2"/>
  <c r="K60" i="2"/>
  <c r="K61" i="2"/>
  <c r="K62" i="2"/>
  <c r="K63" i="2"/>
  <c r="K66" i="2"/>
  <c r="K67" i="2"/>
  <c r="K68" i="2"/>
  <c r="K69" i="2"/>
  <c r="K70" i="2"/>
  <c r="K71" i="2"/>
  <c r="K74" i="2"/>
  <c r="K75" i="2"/>
  <c r="K76" i="2"/>
  <c r="K77" i="2"/>
  <c r="K78" i="2"/>
  <c r="K79" i="2"/>
  <c r="K82" i="2"/>
  <c r="K83" i="2"/>
  <c r="K84" i="2"/>
  <c r="K85" i="2"/>
  <c r="K86" i="2"/>
  <c r="K87" i="2"/>
  <c r="K90" i="2"/>
  <c r="K91" i="2"/>
  <c r="K92" i="2"/>
  <c r="K93" i="2"/>
  <c r="K94" i="2"/>
  <c r="K95" i="2"/>
  <c r="K98" i="2"/>
  <c r="K99" i="2"/>
  <c r="K100" i="2"/>
  <c r="K101" i="2"/>
  <c r="K102" i="2"/>
  <c r="K103" i="2"/>
  <c r="K106" i="2"/>
  <c r="K107" i="2"/>
  <c r="K108" i="2"/>
  <c r="K109" i="2"/>
  <c r="K110" i="2"/>
  <c r="K111" i="2"/>
  <c r="K114" i="2"/>
  <c r="K115" i="2"/>
  <c r="K116" i="2"/>
  <c r="K117" i="2"/>
  <c r="K118" i="2"/>
  <c r="K119" i="2"/>
  <c r="K122" i="2"/>
  <c r="K123" i="2"/>
  <c r="K124" i="2"/>
  <c r="K125" i="2"/>
  <c r="K126" i="2"/>
  <c r="K127" i="2"/>
  <c r="K130" i="2"/>
  <c r="K131" i="2"/>
  <c r="K132" i="2"/>
  <c r="K133" i="2"/>
  <c r="K134" i="2"/>
  <c r="K135" i="2"/>
  <c r="K138" i="2"/>
  <c r="K139" i="2"/>
  <c r="K140" i="2"/>
  <c r="K141" i="2"/>
  <c r="K142" i="2"/>
  <c r="K143" i="2"/>
  <c r="K146" i="2"/>
  <c r="K147" i="2"/>
  <c r="K148" i="2"/>
  <c r="K149" i="2"/>
  <c r="K150" i="2"/>
  <c r="K151" i="2"/>
  <c r="K154" i="2"/>
  <c r="K155" i="2"/>
  <c r="K156" i="2"/>
  <c r="K157" i="2"/>
  <c r="K158" i="2"/>
  <c r="K159" i="2"/>
  <c r="K162" i="2"/>
  <c r="K163" i="2"/>
  <c r="K164" i="2"/>
  <c r="K165" i="2"/>
  <c r="K166" i="2"/>
  <c r="K167" i="2"/>
  <c r="K170" i="2"/>
  <c r="K171" i="2"/>
  <c r="K172" i="2"/>
  <c r="K173" i="2"/>
  <c r="K174" i="2"/>
  <c r="K175" i="2"/>
  <c r="K178" i="2"/>
  <c r="K179" i="2"/>
  <c r="K180" i="2"/>
  <c r="K181" i="2"/>
  <c r="K182" i="2"/>
  <c r="K183" i="2"/>
  <c r="K186" i="2"/>
  <c r="K187" i="2"/>
  <c r="K188" i="2"/>
  <c r="K189" i="2"/>
  <c r="K190" i="2"/>
  <c r="K191" i="2"/>
  <c r="K194" i="2"/>
  <c r="K195" i="2"/>
  <c r="K196" i="2"/>
  <c r="K197" i="2"/>
  <c r="K198" i="2"/>
  <c r="K199" i="2"/>
  <c r="K202" i="2"/>
  <c r="K203" i="2"/>
  <c r="K204" i="2"/>
  <c r="K205" i="2"/>
  <c r="K206" i="2"/>
  <c r="K207" i="2"/>
  <c r="K208" i="2"/>
  <c r="K211" i="2"/>
  <c r="K212" i="2"/>
  <c r="K213" i="2"/>
  <c r="K214" i="2"/>
  <c r="K215" i="2"/>
  <c r="K216" i="2"/>
  <c r="K219" i="2"/>
  <c r="K220" i="2"/>
  <c r="K221" i="2"/>
  <c r="K222" i="2"/>
  <c r="K223" i="2"/>
  <c r="K224" i="2"/>
  <c r="K227" i="2"/>
  <c r="K228" i="2"/>
  <c r="K229" i="2"/>
  <c r="K230" i="2"/>
  <c r="K231" i="2"/>
  <c r="K232" i="2"/>
  <c r="K235" i="2"/>
  <c r="K236" i="2"/>
  <c r="K237" i="2"/>
  <c r="K238" i="2"/>
  <c r="K239" i="2"/>
  <c r="K240" i="2"/>
  <c r="K241" i="2"/>
  <c r="K243" i="2"/>
  <c r="K244" i="2"/>
  <c r="K245" i="2"/>
  <c r="K246" i="2"/>
  <c r="K247" i="2"/>
  <c r="K248" i="2"/>
  <c r="K249" i="2"/>
  <c r="K251" i="2"/>
  <c r="K252" i="2"/>
  <c r="K253" i="2"/>
  <c r="K254" i="2"/>
  <c r="K255" i="2"/>
  <c r="K256" i="2"/>
  <c r="K259" i="2"/>
  <c r="K260" i="2"/>
  <c r="K261" i="2"/>
  <c r="K262" i="2"/>
  <c r="K263" i="2"/>
  <c r="K264" i="2"/>
  <c r="K267" i="2"/>
  <c r="K268" i="2"/>
  <c r="K269" i="2"/>
  <c r="K270" i="2"/>
  <c r="K271" i="2"/>
  <c r="K272" i="2"/>
  <c r="K275" i="2"/>
  <c r="K276" i="2"/>
  <c r="K277" i="2"/>
  <c r="K278" i="2"/>
  <c r="K279" i="2"/>
  <c r="K280" i="2"/>
  <c r="K283" i="2"/>
  <c r="K284" i="2"/>
  <c r="K285" i="2"/>
  <c r="K286" i="2"/>
  <c r="K287" i="2"/>
  <c r="K288" i="2"/>
  <c r="K291" i="2"/>
  <c r="K292" i="2"/>
  <c r="K293" i="2"/>
  <c r="K294" i="2"/>
  <c r="K295" i="2"/>
  <c r="K296" i="2"/>
  <c r="K299" i="2"/>
  <c r="K300" i="2"/>
  <c r="K301" i="2"/>
  <c r="K302" i="2"/>
  <c r="K303" i="2"/>
  <c r="K304" i="2"/>
  <c r="K305" i="2"/>
  <c r="K307" i="2"/>
  <c r="K308" i="2"/>
  <c r="K309" i="2"/>
  <c r="K310" i="2"/>
  <c r="K311" i="2"/>
  <c r="K312" i="2"/>
  <c r="K313" i="2"/>
  <c r="K315" i="2"/>
  <c r="K316" i="2"/>
  <c r="K317" i="2"/>
  <c r="K318" i="2"/>
  <c r="K319" i="2"/>
  <c r="K320" i="2"/>
  <c r="K323" i="2"/>
  <c r="K324" i="2"/>
  <c r="K325" i="2"/>
  <c r="K326" i="2"/>
  <c r="K327" i="2"/>
  <c r="K328" i="2"/>
  <c r="K331" i="2"/>
  <c r="K332" i="2"/>
  <c r="K333" i="2"/>
  <c r="K334" i="2"/>
  <c r="K335" i="2"/>
  <c r="K336" i="2"/>
  <c r="K339" i="2"/>
  <c r="K340" i="2"/>
  <c r="K341" i="2"/>
  <c r="K342" i="2"/>
  <c r="K343" i="2"/>
  <c r="K344" i="2"/>
  <c r="K347" i="2"/>
  <c r="K348" i="2"/>
  <c r="K349" i="2"/>
  <c r="K350" i="2"/>
  <c r="K351" i="2"/>
  <c r="K352" i="2"/>
  <c r="K355" i="2"/>
  <c r="K356" i="2"/>
  <c r="K357" i="2"/>
  <c r="K358" i="2"/>
  <c r="K359" i="2"/>
  <c r="K360" i="2"/>
  <c r="K363" i="2"/>
  <c r="K364" i="2"/>
  <c r="K365" i="2"/>
  <c r="K366" i="2"/>
  <c r="K367" i="2"/>
  <c r="K368" i="2"/>
  <c r="K369" i="2"/>
  <c r="K371" i="2"/>
  <c r="K372" i="2"/>
  <c r="K373" i="2"/>
  <c r="K374" i="2"/>
  <c r="K375" i="2"/>
  <c r="K376" i="2"/>
  <c r="K377" i="2"/>
  <c r="K379" i="2"/>
  <c r="K380" i="2"/>
  <c r="K381" i="2"/>
  <c r="K382" i="2"/>
  <c r="K383" i="2"/>
  <c r="K384" i="2"/>
  <c r="K387" i="2"/>
  <c r="K388" i="2"/>
  <c r="K389" i="2"/>
  <c r="K390" i="2"/>
  <c r="K391" i="2"/>
  <c r="K392" i="2"/>
  <c r="K395" i="2"/>
  <c r="K396" i="2"/>
  <c r="K397" i="2"/>
  <c r="K398" i="2"/>
  <c r="K399" i="2"/>
  <c r="K400" i="2"/>
  <c r="K403" i="2"/>
  <c r="K404" i="2"/>
  <c r="K405" i="2"/>
  <c r="K406" i="2"/>
  <c r="K407" i="2"/>
  <c r="K408" i="2"/>
  <c r="K411" i="2"/>
  <c r="K412" i="2"/>
  <c r="K413" i="2"/>
  <c r="K414" i="2"/>
  <c r="K415" i="2"/>
  <c r="K416" i="2"/>
  <c r="K419" i="2"/>
  <c r="K420" i="2"/>
  <c r="K421" i="2"/>
  <c r="K422" i="2"/>
  <c r="K423" i="2"/>
  <c r="K424" i="2"/>
  <c r="K427" i="2"/>
  <c r="K428" i="2"/>
  <c r="K429" i="2"/>
  <c r="K430" i="2"/>
  <c r="K431" i="2"/>
  <c r="K432" i="2"/>
  <c r="K433" i="2"/>
  <c r="K435" i="2"/>
  <c r="K436" i="2"/>
  <c r="K437" i="2"/>
  <c r="K438" i="2"/>
  <c r="K439" i="2"/>
  <c r="K440" i="2"/>
  <c r="K441" i="2"/>
  <c r="K443" i="2"/>
  <c r="K444" i="2"/>
  <c r="K445" i="2"/>
  <c r="K446" i="2"/>
  <c r="K447" i="2"/>
  <c r="K448" i="2"/>
  <c r="K451" i="2"/>
  <c r="K452" i="2"/>
  <c r="K453" i="2"/>
  <c r="K454" i="2"/>
  <c r="K455" i="2"/>
  <c r="K456" i="2"/>
  <c r="K459" i="2"/>
  <c r="K460" i="2"/>
  <c r="K461" i="2"/>
  <c r="K462" i="2"/>
  <c r="K463" i="2"/>
  <c r="K464" i="2"/>
  <c r="K467" i="2"/>
  <c r="K468" i="2"/>
  <c r="K469" i="2"/>
  <c r="K470" i="2"/>
  <c r="K471" i="2"/>
  <c r="K472" i="2"/>
  <c r="K475" i="2"/>
  <c r="K476" i="2"/>
  <c r="K477" i="2"/>
  <c r="K478" i="2"/>
  <c r="K479" i="2"/>
  <c r="K480" i="2"/>
  <c r="K483" i="2"/>
  <c r="K484" i="2"/>
  <c r="K485" i="2"/>
  <c r="K486" i="2"/>
  <c r="K487" i="2"/>
  <c r="K488" i="2"/>
  <c r="K491" i="2"/>
  <c r="K492" i="2"/>
  <c r="K493" i="2"/>
  <c r="K494" i="2"/>
  <c r="K495" i="2"/>
  <c r="K496" i="2"/>
  <c r="K497" i="2"/>
  <c r="K499" i="2"/>
  <c r="K500" i="2"/>
  <c r="K501" i="2"/>
  <c r="K502" i="2"/>
  <c r="K503" i="2"/>
  <c r="K504" i="2"/>
  <c r="K505" i="2"/>
  <c r="K507" i="2"/>
  <c r="K508" i="2"/>
  <c r="K509" i="2"/>
  <c r="K510" i="2"/>
  <c r="K511" i="2"/>
  <c r="K512" i="2"/>
  <c r="K515" i="2"/>
  <c r="K516" i="2"/>
  <c r="K517" i="2"/>
  <c r="K518" i="2"/>
  <c r="K519" i="2"/>
  <c r="K520" i="2"/>
  <c r="K523" i="2"/>
  <c r="K524" i="2"/>
  <c r="K525" i="2"/>
  <c r="K526" i="2"/>
  <c r="K527" i="2"/>
  <c r="K528" i="2"/>
  <c r="K531" i="2"/>
  <c r="K532" i="2"/>
  <c r="K533" i="2"/>
  <c r="K534" i="2"/>
  <c r="K535" i="2"/>
  <c r="K536" i="2"/>
  <c r="K539" i="2"/>
  <c r="K540" i="2"/>
  <c r="K541" i="2"/>
  <c r="K542" i="2"/>
  <c r="K543" i="2"/>
  <c r="K544" i="2"/>
  <c r="K547" i="2"/>
  <c r="K548" i="2"/>
  <c r="K549" i="2"/>
  <c r="K550" i="2"/>
  <c r="K551" i="2"/>
  <c r="K552" i="2"/>
  <c r="K555" i="2"/>
  <c r="K556" i="2"/>
  <c r="K557" i="2"/>
  <c r="K558" i="2"/>
  <c r="K559" i="2"/>
  <c r="K560" i="2"/>
  <c r="K561" i="2"/>
  <c r="K563" i="2"/>
  <c r="K564" i="2"/>
  <c r="K565" i="2"/>
  <c r="K566" i="2"/>
  <c r="K567" i="2"/>
  <c r="K568" i="2"/>
  <c r="K569" i="2"/>
  <c r="K571" i="2"/>
  <c r="K572" i="2"/>
  <c r="K573" i="2"/>
  <c r="K574" i="2"/>
  <c r="K575" i="2"/>
  <c r="K576" i="2"/>
  <c r="K579" i="2"/>
  <c r="K580" i="2"/>
  <c r="K581" i="2"/>
  <c r="K582" i="2"/>
  <c r="K583" i="2"/>
  <c r="K584" i="2"/>
  <c r="K587" i="2"/>
  <c r="K588" i="2"/>
  <c r="K589" i="2"/>
  <c r="K590" i="2"/>
  <c r="K591" i="2"/>
  <c r="K592" i="2"/>
  <c r="K595" i="2"/>
  <c r="K596" i="2"/>
  <c r="K597" i="2"/>
  <c r="K598" i="2"/>
  <c r="K599" i="2"/>
  <c r="K600" i="2"/>
  <c r="K603" i="2"/>
  <c r="K604" i="2"/>
  <c r="K605" i="2"/>
  <c r="K606" i="2"/>
  <c r="K607" i="2"/>
  <c r="K608" i="2"/>
  <c r="K611" i="2"/>
  <c r="K612" i="2"/>
  <c r="K613" i="2"/>
  <c r="K614" i="2"/>
  <c r="K615" i="2"/>
  <c r="K616" i="2"/>
  <c r="K619" i="2"/>
  <c r="K620" i="2"/>
  <c r="K621" i="2"/>
  <c r="K622" i="2"/>
  <c r="K623" i="2"/>
  <c r="K624" i="2"/>
  <c r="K625" i="2"/>
  <c r="K627" i="2"/>
  <c r="K628" i="2"/>
  <c r="K629" i="2"/>
  <c r="K630" i="2"/>
  <c r="K631" i="2"/>
  <c r="K632" i="2"/>
  <c r="K633" i="2"/>
  <c r="K635" i="2"/>
  <c r="K636" i="2"/>
  <c r="K637" i="2"/>
  <c r="K638" i="2"/>
  <c r="K639" i="2"/>
  <c r="K640" i="2"/>
  <c r="K643" i="2"/>
  <c r="K644" i="2"/>
  <c r="K645" i="2"/>
  <c r="K646" i="2"/>
  <c r="K647" i="2"/>
  <c r="K648" i="2"/>
  <c r="K651" i="2"/>
  <c r="K652" i="2"/>
  <c r="K653" i="2"/>
  <c r="K654" i="2"/>
  <c r="K655" i="2"/>
  <c r="K656" i="2"/>
  <c r="K659" i="2"/>
  <c r="K660" i="2"/>
  <c r="K661" i="2"/>
  <c r="K662" i="2"/>
  <c r="K663" i="2"/>
  <c r="K664" i="2"/>
  <c r="K667" i="2"/>
  <c r="K668" i="2"/>
  <c r="K669" i="2"/>
  <c r="K670" i="2"/>
  <c r="K671" i="2"/>
  <c r="K672" i="2"/>
  <c r="K675" i="2"/>
  <c r="K676" i="2"/>
  <c r="K677" i="2"/>
  <c r="K678" i="2"/>
  <c r="K679" i="2"/>
  <c r="K680" i="2"/>
  <c r="K683" i="2"/>
  <c r="K684" i="2"/>
  <c r="K685" i="2"/>
  <c r="K686" i="2"/>
  <c r="K687" i="2"/>
  <c r="K688" i="2"/>
  <c r="K689" i="2"/>
  <c r="K691" i="2"/>
  <c r="K692" i="2"/>
  <c r="K693" i="2"/>
  <c r="K694" i="2"/>
  <c r="K695" i="2"/>
  <c r="K696" i="2"/>
  <c r="K697" i="2"/>
  <c r="K699" i="2"/>
  <c r="K700" i="2"/>
  <c r="K701" i="2"/>
  <c r="K702" i="2"/>
  <c r="K703" i="2"/>
  <c r="K704" i="2"/>
  <c r="K707" i="2"/>
  <c r="K708" i="2"/>
  <c r="K709" i="2"/>
  <c r="K710" i="2"/>
  <c r="K711" i="2"/>
  <c r="K712" i="2"/>
  <c r="K713" i="2"/>
  <c r="K716" i="2"/>
  <c r="K717" i="2"/>
  <c r="K718" i="2"/>
  <c r="K719" i="2"/>
  <c r="K720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M208" i="2"/>
  <c r="M710" i="2"/>
  <c r="I2" i="2" l="1"/>
  <c r="M706" i="2" l="1"/>
  <c r="A725" i="2" l="1"/>
  <c r="B725" i="2"/>
  <c r="C725" i="2"/>
  <c r="D725" i="2"/>
  <c r="E725" i="2"/>
  <c r="I725" i="2"/>
  <c r="A726" i="2"/>
  <c r="B726" i="2"/>
  <c r="C726" i="2"/>
  <c r="D726" i="2"/>
  <c r="E726" i="2"/>
  <c r="I726" i="2"/>
  <c r="A727" i="2"/>
  <c r="B727" i="2"/>
  <c r="C727" i="2"/>
  <c r="D727" i="2"/>
  <c r="E727" i="2"/>
  <c r="I727" i="2"/>
  <c r="A728" i="2"/>
  <c r="B728" i="2"/>
  <c r="C728" i="2"/>
  <c r="D728" i="2"/>
  <c r="E728" i="2"/>
  <c r="I728" i="2"/>
  <c r="A729" i="2"/>
  <c r="B729" i="2"/>
  <c r="C729" i="2"/>
  <c r="D729" i="2"/>
  <c r="E729" i="2"/>
  <c r="I729" i="2"/>
  <c r="A730" i="2"/>
  <c r="B730" i="2"/>
  <c r="C730" i="2"/>
  <c r="D730" i="2"/>
  <c r="E730" i="2"/>
  <c r="I730" i="2"/>
  <c r="A731" i="2"/>
  <c r="B731" i="2"/>
  <c r="C731" i="2"/>
  <c r="D731" i="2"/>
  <c r="E731" i="2"/>
  <c r="I731" i="2"/>
  <c r="A732" i="2"/>
  <c r="B732" i="2"/>
  <c r="C732" i="2"/>
  <c r="D732" i="2"/>
  <c r="E732" i="2"/>
  <c r="I732" i="2"/>
  <c r="A733" i="2"/>
  <c r="B733" i="2"/>
  <c r="C733" i="2"/>
  <c r="D733" i="2"/>
  <c r="E733" i="2"/>
  <c r="I733" i="2"/>
  <c r="A734" i="2"/>
  <c r="B734" i="2"/>
  <c r="C734" i="2"/>
  <c r="D734" i="2"/>
  <c r="E734" i="2"/>
  <c r="I734" i="2"/>
  <c r="A735" i="2"/>
  <c r="B735" i="2"/>
  <c r="C735" i="2"/>
  <c r="D735" i="2"/>
  <c r="E735" i="2"/>
  <c r="I735" i="2"/>
  <c r="A736" i="2"/>
  <c r="B736" i="2"/>
  <c r="C736" i="2"/>
  <c r="D736" i="2"/>
  <c r="E736" i="2"/>
  <c r="A737" i="2"/>
  <c r="B737" i="2"/>
  <c r="C737" i="2"/>
  <c r="D737" i="2"/>
  <c r="E737" i="2"/>
  <c r="I737" i="2"/>
  <c r="A738" i="2"/>
  <c r="B738" i="2"/>
  <c r="C738" i="2"/>
  <c r="D738" i="2"/>
  <c r="E738" i="2"/>
  <c r="I738" i="2"/>
  <c r="A739" i="2"/>
  <c r="B739" i="2"/>
  <c r="C739" i="2"/>
  <c r="D739" i="2"/>
  <c r="E739" i="2"/>
  <c r="I739" i="2"/>
  <c r="A740" i="2"/>
  <c r="B740" i="2"/>
  <c r="C740" i="2"/>
  <c r="D740" i="2"/>
  <c r="E740" i="2"/>
  <c r="I740" i="2"/>
  <c r="A741" i="2"/>
  <c r="B741" i="2"/>
  <c r="C741" i="2"/>
  <c r="D741" i="2"/>
  <c r="E741" i="2"/>
  <c r="I741" i="2"/>
  <c r="A742" i="2"/>
  <c r="B742" i="2"/>
  <c r="C742" i="2"/>
  <c r="D742" i="2"/>
  <c r="E742" i="2"/>
  <c r="I742" i="2"/>
  <c r="A743" i="2"/>
  <c r="B743" i="2"/>
  <c r="C743" i="2"/>
  <c r="D743" i="2"/>
  <c r="E743" i="2"/>
  <c r="I743" i="2"/>
  <c r="A744" i="2"/>
  <c r="B744" i="2"/>
  <c r="C744" i="2"/>
  <c r="D744" i="2"/>
  <c r="E744" i="2"/>
  <c r="A745" i="2"/>
  <c r="B745" i="2"/>
  <c r="C745" i="2"/>
  <c r="D745" i="2"/>
  <c r="E745" i="2"/>
  <c r="I745" i="2"/>
  <c r="A746" i="2"/>
  <c r="B746" i="2"/>
  <c r="C746" i="2"/>
  <c r="D746" i="2"/>
  <c r="E746" i="2"/>
  <c r="I746" i="2"/>
  <c r="A747" i="2"/>
  <c r="B747" i="2"/>
  <c r="C747" i="2"/>
  <c r="D747" i="2"/>
  <c r="E747" i="2"/>
  <c r="I747" i="2"/>
  <c r="A748" i="2"/>
  <c r="B748" i="2"/>
  <c r="C748" i="2"/>
  <c r="D748" i="2"/>
  <c r="E748" i="2"/>
  <c r="I748" i="2"/>
  <c r="A749" i="2"/>
  <c r="B749" i="2"/>
  <c r="C749" i="2"/>
  <c r="D749" i="2"/>
  <c r="E749" i="2"/>
  <c r="I749" i="2"/>
  <c r="A750" i="2"/>
  <c r="B750" i="2"/>
  <c r="C750" i="2"/>
  <c r="D750" i="2"/>
  <c r="E750" i="2"/>
  <c r="I750" i="2"/>
  <c r="A751" i="2"/>
  <c r="B751" i="2"/>
  <c r="C751" i="2"/>
  <c r="D751" i="2"/>
  <c r="E751" i="2"/>
  <c r="I751" i="2"/>
  <c r="A752" i="2"/>
  <c r="B752" i="2"/>
  <c r="C752" i="2"/>
  <c r="D752" i="2"/>
  <c r="E752" i="2"/>
  <c r="A753" i="2"/>
  <c r="B753" i="2"/>
  <c r="C753" i="2"/>
  <c r="D753" i="2"/>
  <c r="E753" i="2"/>
  <c r="I753" i="2"/>
  <c r="A754" i="2"/>
  <c r="B754" i="2"/>
  <c r="C754" i="2"/>
  <c r="D754" i="2"/>
  <c r="E754" i="2"/>
  <c r="I754" i="2"/>
  <c r="A755" i="2"/>
  <c r="B755" i="2"/>
  <c r="C755" i="2"/>
  <c r="D755" i="2"/>
  <c r="E755" i="2"/>
  <c r="I755" i="2"/>
  <c r="A756" i="2"/>
  <c r="B756" i="2"/>
  <c r="C756" i="2"/>
  <c r="D756" i="2"/>
  <c r="E756" i="2"/>
  <c r="I756" i="2"/>
  <c r="A757" i="2"/>
  <c r="B757" i="2"/>
  <c r="C757" i="2"/>
  <c r="D757" i="2"/>
  <c r="E757" i="2"/>
  <c r="I757" i="2"/>
  <c r="A758" i="2"/>
  <c r="B758" i="2"/>
  <c r="C758" i="2"/>
  <c r="D758" i="2"/>
  <c r="E758" i="2"/>
  <c r="I758" i="2"/>
  <c r="A759" i="2"/>
  <c r="B759" i="2"/>
  <c r="C759" i="2"/>
  <c r="D759" i="2"/>
  <c r="E759" i="2"/>
  <c r="I759" i="2"/>
  <c r="A760" i="2"/>
  <c r="B760" i="2"/>
  <c r="C760" i="2"/>
  <c r="D760" i="2"/>
  <c r="E760" i="2"/>
  <c r="A761" i="2"/>
  <c r="B761" i="2"/>
  <c r="C761" i="2"/>
  <c r="D761" i="2"/>
  <c r="E761" i="2"/>
  <c r="I761" i="2"/>
  <c r="A762" i="2"/>
  <c r="B762" i="2"/>
  <c r="C762" i="2"/>
  <c r="D762" i="2"/>
  <c r="E762" i="2"/>
  <c r="I762" i="2"/>
  <c r="A763" i="2"/>
  <c r="B763" i="2"/>
  <c r="C763" i="2"/>
  <c r="D763" i="2"/>
  <c r="E763" i="2"/>
  <c r="I763" i="2"/>
  <c r="A764" i="2"/>
  <c r="B764" i="2"/>
  <c r="C764" i="2"/>
  <c r="D764" i="2"/>
  <c r="E764" i="2"/>
  <c r="I764" i="2"/>
  <c r="A765" i="2"/>
  <c r="B765" i="2"/>
  <c r="C765" i="2"/>
  <c r="D765" i="2"/>
  <c r="E765" i="2"/>
  <c r="I765" i="2"/>
  <c r="A766" i="2"/>
  <c r="B766" i="2"/>
  <c r="C766" i="2"/>
  <c r="D766" i="2"/>
  <c r="E766" i="2"/>
  <c r="I766" i="2"/>
  <c r="A767" i="2"/>
  <c r="B767" i="2"/>
  <c r="C767" i="2"/>
  <c r="D767" i="2"/>
  <c r="E767" i="2"/>
  <c r="I767" i="2"/>
  <c r="A768" i="2"/>
  <c r="B768" i="2"/>
  <c r="C768" i="2"/>
  <c r="D768" i="2"/>
  <c r="E768" i="2"/>
  <c r="A769" i="2"/>
  <c r="B769" i="2"/>
  <c r="C769" i="2"/>
  <c r="D769" i="2"/>
  <c r="E769" i="2"/>
  <c r="I769" i="2"/>
  <c r="A770" i="2"/>
  <c r="B770" i="2"/>
  <c r="C770" i="2"/>
  <c r="D770" i="2"/>
  <c r="E770" i="2"/>
  <c r="I770" i="2"/>
  <c r="A771" i="2"/>
  <c r="B771" i="2"/>
  <c r="C771" i="2"/>
  <c r="D771" i="2"/>
  <c r="E771" i="2"/>
  <c r="I771" i="2"/>
  <c r="A772" i="2"/>
  <c r="B772" i="2"/>
  <c r="C772" i="2"/>
  <c r="D772" i="2"/>
  <c r="E772" i="2"/>
  <c r="I772" i="2"/>
  <c r="A773" i="2"/>
  <c r="B773" i="2"/>
  <c r="C773" i="2"/>
  <c r="D773" i="2"/>
  <c r="E773" i="2"/>
  <c r="I773" i="2"/>
  <c r="A774" i="2"/>
  <c r="B774" i="2"/>
  <c r="C774" i="2"/>
  <c r="D774" i="2"/>
  <c r="E774" i="2"/>
  <c r="I774" i="2"/>
  <c r="A775" i="2"/>
  <c r="B775" i="2"/>
  <c r="C775" i="2"/>
  <c r="D775" i="2"/>
  <c r="E775" i="2"/>
  <c r="I775" i="2"/>
  <c r="A776" i="2"/>
  <c r="B776" i="2"/>
  <c r="C776" i="2"/>
  <c r="D776" i="2"/>
  <c r="E776" i="2"/>
  <c r="A777" i="2"/>
  <c r="B777" i="2"/>
  <c r="C777" i="2"/>
  <c r="D777" i="2"/>
  <c r="E777" i="2"/>
  <c r="I777" i="2"/>
  <c r="A778" i="2"/>
  <c r="B778" i="2"/>
  <c r="C778" i="2"/>
  <c r="D778" i="2"/>
  <c r="E778" i="2"/>
  <c r="I778" i="2"/>
  <c r="A779" i="2"/>
  <c r="B779" i="2"/>
  <c r="C779" i="2"/>
  <c r="D779" i="2"/>
  <c r="E779" i="2"/>
  <c r="I779" i="2"/>
  <c r="A780" i="2"/>
  <c r="B780" i="2"/>
  <c r="C780" i="2"/>
  <c r="D780" i="2"/>
  <c r="E780" i="2"/>
  <c r="I780" i="2"/>
  <c r="A781" i="2"/>
  <c r="B781" i="2"/>
  <c r="C781" i="2"/>
  <c r="D781" i="2"/>
  <c r="E781" i="2"/>
  <c r="I781" i="2"/>
  <c r="A782" i="2"/>
  <c r="B782" i="2"/>
  <c r="C782" i="2"/>
  <c r="D782" i="2"/>
  <c r="E782" i="2"/>
  <c r="I782" i="2"/>
  <c r="A783" i="2"/>
  <c r="B783" i="2"/>
  <c r="C783" i="2"/>
  <c r="D783" i="2"/>
  <c r="E783" i="2"/>
  <c r="I783" i="2"/>
  <c r="A784" i="2"/>
  <c r="B784" i="2"/>
  <c r="C784" i="2"/>
  <c r="D784" i="2"/>
  <c r="E784" i="2"/>
  <c r="A785" i="2"/>
  <c r="B785" i="2"/>
  <c r="C785" i="2"/>
  <c r="D785" i="2"/>
  <c r="E785" i="2"/>
  <c r="I785" i="2"/>
  <c r="A786" i="2"/>
  <c r="B786" i="2"/>
  <c r="C786" i="2"/>
  <c r="D786" i="2"/>
  <c r="E786" i="2"/>
  <c r="I786" i="2"/>
  <c r="A787" i="2"/>
  <c r="B787" i="2"/>
  <c r="C787" i="2"/>
  <c r="D787" i="2"/>
  <c r="E787" i="2"/>
  <c r="I787" i="2"/>
  <c r="A788" i="2"/>
  <c r="B788" i="2"/>
  <c r="C788" i="2"/>
  <c r="D788" i="2"/>
  <c r="E788" i="2"/>
  <c r="I788" i="2"/>
  <c r="A789" i="2"/>
  <c r="B789" i="2"/>
  <c r="C789" i="2"/>
  <c r="D789" i="2"/>
  <c r="E789" i="2"/>
  <c r="I789" i="2"/>
  <c r="A790" i="2"/>
  <c r="B790" i="2"/>
  <c r="C790" i="2"/>
  <c r="D790" i="2"/>
  <c r="E790" i="2"/>
  <c r="I790" i="2"/>
  <c r="A791" i="2"/>
  <c r="B791" i="2"/>
  <c r="C791" i="2"/>
  <c r="D791" i="2"/>
  <c r="E791" i="2"/>
  <c r="I791" i="2"/>
  <c r="A792" i="2"/>
  <c r="B792" i="2"/>
  <c r="C792" i="2"/>
  <c r="D792" i="2"/>
  <c r="E792" i="2"/>
  <c r="A793" i="2"/>
  <c r="B793" i="2"/>
  <c r="C793" i="2"/>
  <c r="D793" i="2"/>
  <c r="E793" i="2"/>
  <c r="I793" i="2"/>
  <c r="A794" i="2"/>
  <c r="B794" i="2"/>
  <c r="C794" i="2"/>
  <c r="D794" i="2"/>
  <c r="E794" i="2"/>
  <c r="I794" i="2"/>
  <c r="A795" i="2"/>
  <c r="B795" i="2"/>
  <c r="C795" i="2"/>
  <c r="D795" i="2"/>
  <c r="E795" i="2"/>
  <c r="I795" i="2"/>
  <c r="A796" i="2"/>
  <c r="B796" i="2"/>
  <c r="C796" i="2"/>
  <c r="D796" i="2"/>
  <c r="E796" i="2"/>
  <c r="I796" i="2"/>
  <c r="A797" i="2"/>
  <c r="B797" i="2"/>
  <c r="C797" i="2"/>
  <c r="D797" i="2"/>
  <c r="E797" i="2"/>
  <c r="I797" i="2"/>
  <c r="A798" i="2"/>
  <c r="B798" i="2"/>
  <c r="C798" i="2"/>
  <c r="D798" i="2"/>
  <c r="E798" i="2"/>
  <c r="I798" i="2"/>
  <c r="A799" i="2"/>
  <c r="B799" i="2"/>
  <c r="C799" i="2"/>
  <c r="D799" i="2"/>
  <c r="E799" i="2"/>
  <c r="I799" i="2"/>
  <c r="A800" i="2"/>
  <c r="B800" i="2"/>
  <c r="C800" i="2"/>
  <c r="D800" i="2"/>
  <c r="E800" i="2"/>
  <c r="A801" i="2"/>
  <c r="B801" i="2"/>
  <c r="C801" i="2"/>
  <c r="D801" i="2"/>
  <c r="E801" i="2"/>
  <c r="I801" i="2"/>
  <c r="A802" i="2"/>
  <c r="B802" i="2"/>
  <c r="C802" i="2"/>
  <c r="D802" i="2"/>
  <c r="E802" i="2"/>
  <c r="I802" i="2"/>
  <c r="A803" i="2"/>
  <c r="B803" i="2"/>
  <c r="C803" i="2"/>
  <c r="D803" i="2"/>
  <c r="E803" i="2"/>
  <c r="I803" i="2"/>
  <c r="A804" i="2"/>
  <c r="B804" i="2"/>
  <c r="C804" i="2"/>
  <c r="D804" i="2"/>
  <c r="E804" i="2"/>
  <c r="I804" i="2"/>
  <c r="A805" i="2"/>
  <c r="B805" i="2"/>
  <c r="C805" i="2"/>
  <c r="D805" i="2"/>
  <c r="E805" i="2"/>
  <c r="I805" i="2"/>
  <c r="A806" i="2"/>
  <c r="B806" i="2"/>
  <c r="C806" i="2"/>
  <c r="D806" i="2"/>
  <c r="E806" i="2"/>
  <c r="I806" i="2"/>
  <c r="A807" i="2"/>
  <c r="B807" i="2"/>
  <c r="C807" i="2"/>
  <c r="D807" i="2"/>
  <c r="E807" i="2"/>
  <c r="I807" i="2"/>
  <c r="A808" i="2"/>
  <c r="B808" i="2"/>
  <c r="C808" i="2"/>
  <c r="D808" i="2"/>
  <c r="E808" i="2"/>
  <c r="A809" i="2"/>
  <c r="B809" i="2"/>
  <c r="C809" i="2"/>
  <c r="D809" i="2"/>
  <c r="E809" i="2"/>
  <c r="I809" i="2"/>
  <c r="A810" i="2"/>
  <c r="B810" i="2"/>
  <c r="C810" i="2"/>
  <c r="D810" i="2"/>
  <c r="E810" i="2"/>
  <c r="I810" i="2"/>
  <c r="A811" i="2"/>
  <c r="B811" i="2"/>
  <c r="C811" i="2"/>
  <c r="D811" i="2"/>
  <c r="E811" i="2"/>
  <c r="I811" i="2"/>
  <c r="A721" i="2"/>
  <c r="B721" i="2"/>
  <c r="C721" i="2"/>
  <c r="D721" i="2"/>
  <c r="E721" i="2"/>
  <c r="A722" i="2"/>
  <c r="B722" i="2"/>
  <c r="C722" i="2"/>
  <c r="D722" i="2"/>
  <c r="E722" i="2"/>
  <c r="I722" i="2"/>
  <c r="A723" i="2"/>
  <c r="B723" i="2"/>
  <c r="C723" i="2"/>
  <c r="D723" i="2"/>
  <c r="E723" i="2"/>
  <c r="I723" i="2"/>
  <c r="A724" i="2"/>
  <c r="B724" i="2"/>
  <c r="C724" i="2"/>
  <c r="D724" i="2"/>
  <c r="E724" i="2"/>
  <c r="I724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I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I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I44" i="2"/>
  <c r="A45" i="2"/>
  <c r="B45" i="2"/>
  <c r="C45" i="2"/>
  <c r="D45" i="2"/>
  <c r="E45" i="2"/>
  <c r="A46" i="2"/>
  <c r="B46" i="2"/>
  <c r="C46" i="2"/>
  <c r="D46" i="2"/>
  <c r="E46" i="2"/>
  <c r="I46" i="2"/>
  <c r="A47" i="2"/>
  <c r="B47" i="2"/>
  <c r="C47" i="2"/>
  <c r="D47" i="2"/>
  <c r="E47" i="2"/>
  <c r="I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I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I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I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I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I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I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I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  <c r="I79" i="2"/>
  <c r="A80" i="2"/>
  <c r="B80" i="2"/>
  <c r="C80" i="2"/>
  <c r="D80" i="2"/>
  <c r="E80" i="2"/>
  <c r="A81" i="2"/>
  <c r="B81" i="2"/>
  <c r="C81" i="2"/>
  <c r="D81" i="2"/>
  <c r="E81" i="2"/>
  <c r="A82" i="2"/>
  <c r="B82" i="2"/>
  <c r="C82" i="2"/>
  <c r="D82" i="2"/>
  <c r="E82" i="2"/>
  <c r="A83" i="2"/>
  <c r="B83" i="2"/>
  <c r="C83" i="2"/>
  <c r="D83" i="2"/>
  <c r="E83" i="2"/>
  <c r="A84" i="2"/>
  <c r="B84" i="2"/>
  <c r="C84" i="2"/>
  <c r="D84" i="2"/>
  <c r="E84" i="2"/>
  <c r="I84" i="2"/>
  <c r="A85" i="2"/>
  <c r="B85" i="2"/>
  <c r="C85" i="2"/>
  <c r="D85" i="2"/>
  <c r="E85" i="2"/>
  <c r="A86" i="2"/>
  <c r="B86" i="2"/>
  <c r="C86" i="2"/>
  <c r="D86" i="2"/>
  <c r="E86" i="2"/>
  <c r="A87" i="2"/>
  <c r="B87" i="2"/>
  <c r="C87" i="2"/>
  <c r="D87" i="2"/>
  <c r="E87" i="2"/>
  <c r="I87" i="2"/>
  <c r="A88" i="2"/>
  <c r="B88" i="2"/>
  <c r="C88" i="2"/>
  <c r="D88" i="2"/>
  <c r="E88" i="2"/>
  <c r="A89" i="2"/>
  <c r="B89" i="2"/>
  <c r="C89" i="2"/>
  <c r="D89" i="2"/>
  <c r="E89" i="2"/>
  <c r="A90" i="2"/>
  <c r="B90" i="2"/>
  <c r="C90" i="2"/>
  <c r="D90" i="2"/>
  <c r="E90" i="2"/>
  <c r="A91" i="2"/>
  <c r="B91" i="2"/>
  <c r="C91" i="2"/>
  <c r="D91" i="2"/>
  <c r="E91" i="2"/>
  <c r="A92" i="2"/>
  <c r="B92" i="2"/>
  <c r="C92" i="2"/>
  <c r="D92" i="2"/>
  <c r="E92" i="2"/>
  <c r="I92" i="2"/>
  <c r="A93" i="2"/>
  <c r="B93" i="2"/>
  <c r="C93" i="2"/>
  <c r="D93" i="2"/>
  <c r="E93" i="2"/>
  <c r="A94" i="2"/>
  <c r="B94" i="2"/>
  <c r="C94" i="2"/>
  <c r="D94" i="2"/>
  <c r="E94" i="2"/>
  <c r="A95" i="2"/>
  <c r="B95" i="2"/>
  <c r="C95" i="2"/>
  <c r="D95" i="2"/>
  <c r="E95" i="2"/>
  <c r="I95" i="2"/>
  <c r="A96" i="2"/>
  <c r="B96" i="2"/>
  <c r="C96" i="2"/>
  <c r="D96" i="2"/>
  <c r="E96" i="2"/>
  <c r="A97" i="2"/>
  <c r="B97" i="2"/>
  <c r="C97" i="2"/>
  <c r="D97" i="2"/>
  <c r="E97" i="2"/>
  <c r="A98" i="2"/>
  <c r="B98" i="2"/>
  <c r="C98" i="2"/>
  <c r="D98" i="2"/>
  <c r="E98" i="2"/>
  <c r="A99" i="2"/>
  <c r="B99" i="2"/>
  <c r="C99" i="2"/>
  <c r="D99" i="2"/>
  <c r="E99" i="2"/>
  <c r="A100" i="2"/>
  <c r="B100" i="2"/>
  <c r="C100" i="2"/>
  <c r="D100" i="2"/>
  <c r="E100" i="2"/>
  <c r="I100" i="2"/>
  <c r="A101" i="2"/>
  <c r="B101" i="2"/>
  <c r="C101" i="2"/>
  <c r="D101" i="2"/>
  <c r="E101" i="2"/>
  <c r="A102" i="2"/>
  <c r="B102" i="2"/>
  <c r="C102" i="2"/>
  <c r="D102" i="2"/>
  <c r="E102" i="2"/>
  <c r="A103" i="2"/>
  <c r="B103" i="2"/>
  <c r="C103" i="2"/>
  <c r="D103" i="2"/>
  <c r="E103" i="2"/>
  <c r="I103" i="2"/>
  <c r="A104" i="2"/>
  <c r="B104" i="2"/>
  <c r="C104" i="2"/>
  <c r="D104" i="2"/>
  <c r="E104" i="2"/>
  <c r="A105" i="2"/>
  <c r="B105" i="2"/>
  <c r="C105" i="2"/>
  <c r="D105" i="2"/>
  <c r="E105" i="2"/>
  <c r="A106" i="2"/>
  <c r="B106" i="2"/>
  <c r="C106" i="2"/>
  <c r="D106" i="2"/>
  <c r="E106" i="2"/>
  <c r="A107" i="2"/>
  <c r="B107" i="2"/>
  <c r="C107" i="2"/>
  <c r="D107" i="2"/>
  <c r="E107" i="2"/>
  <c r="A108" i="2"/>
  <c r="B108" i="2"/>
  <c r="C108" i="2"/>
  <c r="D108" i="2"/>
  <c r="E108" i="2"/>
  <c r="I108" i="2"/>
  <c r="A109" i="2"/>
  <c r="B109" i="2"/>
  <c r="C109" i="2"/>
  <c r="D109" i="2"/>
  <c r="E109" i="2"/>
  <c r="A110" i="2"/>
  <c r="B110" i="2"/>
  <c r="C110" i="2"/>
  <c r="D110" i="2"/>
  <c r="E110" i="2"/>
  <c r="I110" i="2"/>
  <c r="A111" i="2"/>
  <c r="B111" i="2"/>
  <c r="C111" i="2"/>
  <c r="D111" i="2"/>
  <c r="E111" i="2"/>
  <c r="I111" i="2"/>
  <c r="A112" i="2"/>
  <c r="B112" i="2"/>
  <c r="C112" i="2"/>
  <c r="D112" i="2"/>
  <c r="E112" i="2"/>
  <c r="A113" i="2"/>
  <c r="B113" i="2"/>
  <c r="C113" i="2"/>
  <c r="D113" i="2"/>
  <c r="E113" i="2"/>
  <c r="A114" i="2"/>
  <c r="B114" i="2"/>
  <c r="C114" i="2"/>
  <c r="D114" i="2"/>
  <c r="E114" i="2"/>
  <c r="A115" i="2"/>
  <c r="B115" i="2"/>
  <c r="C115" i="2"/>
  <c r="D115" i="2"/>
  <c r="E115" i="2"/>
  <c r="A116" i="2"/>
  <c r="B116" i="2"/>
  <c r="C116" i="2"/>
  <c r="D116" i="2"/>
  <c r="E116" i="2"/>
  <c r="I116" i="2"/>
  <c r="A117" i="2"/>
  <c r="B117" i="2"/>
  <c r="C117" i="2"/>
  <c r="D117" i="2"/>
  <c r="E117" i="2"/>
  <c r="A118" i="2"/>
  <c r="B118" i="2"/>
  <c r="C118" i="2"/>
  <c r="D118" i="2"/>
  <c r="E118" i="2"/>
  <c r="A119" i="2"/>
  <c r="B119" i="2"/>
  <c r="C119" i="2"/>
  <c r="D119" i="2"/>
  <c r="E119" i="2"/>
  <c r="I119" i="2"/>
  <c r="A120" i="2"/>
  <c r="B120" i="2"/>
  <c r="C120" i="2"/>
  <c r="D120" i="2"/>
  <c r="E120" i="2"/>
  <c r="A121" i="2"/>
  <c r="B121" i="2"/>
  <c r="C121" i="2"/>
  <c r="D121" i="2"/>
  <c r="E121" i="2"/>
  <c r="A122" i="2"/>
  <c r="B122" i="2"/>
  <c r="C122" i="2"/>
  <c r="D122" i="2"/>
  <c r="E122" i="2"/>
  <c r="A123" i="2"/>
  <c r="B123" i="2"/>
  <c r="C123" i="2"/>
  <c r="D123" i="2"/>
  <c r="E123" i="2"/>
  <c r="A124" i="2"/>
  <c r="B124" i="2"/>
  <c r="C124" i="2"/>
  <c r="D124" i="2"/>
  <c r="E124" i="2"/>
  <c r="I124" i="2"/>
  <c r="A125" i="2"/>
  <c r="B125" i="2"/>
  <c r="C125" i="2"/>
  <c r="D125" i="2"/>
  <c r="E125" i="2"/>
  <c r="A126" i="2"/>
  <c r="B126" i="2"/>
  <c r="C126" i="2"/>
  <c r="D126" i="2"/>
  <c r="E126" i="2"/>
  <c r="A127" i="2"/>
  <c r="B127" i="2"/>
  <c r="C127" i="2"/>
  <c r="D127" i="2"/>
  <c r="E127" i="2"/>
  <c r="I127" i="2"/>
  <c r="A128" i="2"/>
  <c r="B128" i="2"/>
  <c r="C128" i="2"/>
  <c r="D128" i="2"/>
  <c r="E128" i="2"/>
  <c r="A129" i="2"/>
  <c r="B129" i="2"/>
  <c r="C129" i="2"/>
  <c r="D129" i="2"/>
  <c r="E129" i="2"/>
  <c r="A130" i="2"/>
  <c r="C130" i="2"/>
  <c r="D130" i="2"/>
  <c r="E130" i="2"/>
  <c r="A131" i="2"/>
  <c r="B131" i="2"/>
  <c r="C131" i="2"/>
  <c r="D131" i="2"/>
  <c r="E131" i="2"/>
  <c r="A132" i="2"/>
  <c r="B132" i="2"/>
  <c r="C132" i="2"/>
  <c r="D132" i="2"/>
  <c r="E132" i="2"/>
  <c r="I132" i="2"/>
  <c r="A133" i="2"/>
  <c r="B133" i="2"/>
  <c r="C133" i="2"/>
  <c r="D133" i="2"/>
  <c r="E133" i="2"/>
  <c r="A134" i="2"/>
  <c r="B134" i="2"/>
  <c r="C134" i="2"/>
  <c r="D134" i="2"/>
  <c r="E134" i="2"/>
  <c r="A135" i="2"/>
  <c r="B135" i="2"/>
  <c r="C135" i="2"/>
  <c r="D135" i="2"/>
  <c r="E135" i="2"/>
  <c r="I135" i="2"/>
  <c r="A136" i="2"/>
  <c r="B136" i="2"/>
  <c r="C136" i="2"/>
  <c r="D136" i="2"/>
  <c r="E136" i="2"/>
  <c r="A137" i="2"/>
  <c r="B137" i="2"/>
  <c r="C137" i="2"/>
  <c r="D137" i="2"/>
  <c r="E137" i="2"/>
  <c r="A138" i="2"/>
  <c r="B138" i="2"/>
  <c r="C138" i="2"/>
  <c r="D138" i="2"/>
  <c r="E138" i="2"/>
  <c r="A139" i="2"/>
  <c r="B139" i="2"/>
  <c r="C139" i="2"/>
  <c r="D139" i="2"/>
  <c r="E139" i="2"/>
  <c r="A140" i="2"/>
  <c r="B140" i="2"/>
  <c r="C140" i="2"/>
  <c r="D140" i="2"/>
  <c r="E140" i="2"/>
  <c r="I140" i="2"/>
  <c r="A141" i="2"/>
  <c r="B141" i="2"/>
  <c r="C141" i="2"/>
  <c r="D141" i="2"/>
  <c r="E141" i="2"/>
  <c r="A142" i="2"/>
  <c r="B142" i="2"/>
  <c r="C142" i="2"/>
  <c r="D142" i="2"/>
  <c r="E142" i="2"/>
  <c r="A143" i="2"/>
  <c r="B143" i="2"/>
  <c r="C143" i="2"/>
  <c r="D143" i="2"/>
  <c r="E143" i="2"/>
  <c r="I143" i="2"/>
  <c r="A144" i="2"/>
  <c r="B144" i="2"/>
  <c r="C144" i="2"/>
  <c r="D144" i="2"/>
  <c r="E144" i="2"/>
  <c r="A145" i="2"/>
  <c r="B145" i="2"/>
  <c r="C145" i="2"/>
  <c r="D145" i="2"/>
  <c r="E145" i="2"/>
  <c r="A146" i="2"/>
  <c r="B146" i="2"/>
  <c r="C146" i="2"/>
  <c r="D146" i="2"/>
  <c r="E146" i="2"/>
  <c r="A147" i="2"/>
  <c r="B147" i="2"/>
  <c r="C147" i="2"/>
  <c r="D147" i="2"/>
  <c r="E147" i="2"/>
  <c r="A148" i="2"/>
  <c r="B148" i="2"/>
  <c r="C148" i="2"/>
  <c r="D148" i="2"/>
  <c r="E148" i="2"/>
  <c r="I148" i="2"/>
  <c r="A149" i="2"/>
  <c r="B149" i="2"/>
  <c r="C149" i="2"/>
  <c r="D149" i="2"/>
  <c r="E149" i="2"/>
  <c r="A150" i="2"/>
  <c r="B150" i="2"/>
  <c r="C150" i="2"/>
  <c r="D150" i="2"/>
  <c r="E150" i="2"/>
  <c r="A151" i="2"/>
  <c r="B151" i="2"/>
  <c r="C151" i="2"/>
  <c r="D151" i="2"/>
  <c r="E151" i="2"/>
  <c r="I151" i="2"/>
  <c r="A152" i="2"/>
  <c r="B152" i="2"/>
  <c r="C152" i="2"/>
  <c r="D152" i="2"/>
  <c r="E152" i="2"/>
  <c r="A153" i="2"/>
  <c r="B153" i="2"/>
  <c r="C153" i="2"/>
  <c r="D153" i="2"/>
  <c r="E153" i="2"/>
  <c r="A154" i="2"/>
  <c r="B154" i="2"/>
  <c r="C154" i="2"/>
  <c r="D154" i="2"/>
  <c r="E154" i="2"/>
  <c r="A155" i="2"/>
  <c r="B155" i="2"/>
  <c r="C155" i="2"/>
  <c r="D155" i="2"/>
  <c r="E155" i="2"/>
  <c r="A156" i="2"/>
  <c r="B156" i="2"/>
  <c r="C156" i="2"/>
  <c r="D156" i="2"/>
  <c r="E156" i="2"/>
  <c r="I156" i="2"/>
  <c r="A157" i="2"/>
  <c r="B157" i="2"/>
  <c r="C157" i="2"/>
  <c r="D157" i="2"/>
  <c r="E157" i="2"/>
  <c r="A158" i="2"/>
  <c r="B158" i="2"/>
  <c r="C158" i="2"/>
  <c r="D158" i="2"/>
  <c r="E158" i="2"/>
  <c r="A159" i="2"/>
  <c r="B159" i="2"/>
  <c r="C159" i="2"/>
  <c r="D159" i="2"/>
  <c r="E159" i="2"/>
  <c r="I159" i="2"/>
  <c r="A160" i="2"/>
  <c r="B160" i="2"/>
  <c r="C160" i="2"/>
  <c r="D160" i="2"/>
  <c r="E160" i="2"/>
  <c r="A161" i="2"/>
  <c r="B161" i="2"/>
  <c r="C161" i="2"/>
  <c r="D161" i="2"/>
  <c r="E161" i="2"/>
  <c r="A162" i="2"/>
  <c r="B162" i="2"/>
  <c r="C162" i="2"/>
  <c r="D162" i="2"/>
  <c r="E162" i="2"/>
  <c r="A163" i="2"/>
  <c r="B163" i="2"/>
  <c r="C163" i="2"/>
  <c r="D163" i="2"/>
  <c r="E163" i="2"/>
  <c r="A164" i="2"/>
  <c r="B164" i="2"/>
  <c r="C164" i="2"/>
  <c r="D164" i="2"/>
  <c r="E164" i="2"/>
  <c r="I164" i="2"/>
  <c r="A165" i="2"/>
  <c r="B165" i="2"/>
  <c r="C165" i="2"/>
  <c r="D165" i="2"/>
  <c r="E165" i="2"/>
  <c r="A166" i="2"/>
  <c r="B166" i="2"/>
  <c r="C166" i="2"/>
  <c r="D166" i="2"/>
  <c r="E166" i="2"/>
  <c r="A167" i="2"/>
  <c r="B167" i="2"/>
  <c r="C167" i="2"/>
  <c r="D167" i="2"/>
  <c r="E167" i="2"/>
  <c r="I167" i="2"/>
  <c r="A168" i="2"/>
  <c r="B168" i="2"/>
  <c r="C168" i="2"/>
  <c r="D168" i="2"/>
  <c r="E168" i="2"/>
  <c r="A169" i="2"/>
  <c r="B169" i="2"/>
  <c r="C169" i="2"/>
  <c r="D169" i="2"/>
  <c r="E169" i="2"/>
  <c r="A170" i="2"/>
  <c r="B170" i="2"/>
  <c r="C170" i="2"/>
  <c r="D170" i="2"/>
  <c r="E170" i="2"/>
  <c r="A171" i="2"/>
  <c r="B171" i="2"/>
  <c r="C171" i="2"/>
  <c r="D171" i="2"/>
  <c r="E171" i="2"/>
  <c r="A172" i="2"/>
  <c r="B172" i="2"/>
  <c r="C172" i="2"/>
  <c r="D172" i="2"/>
  <c r="E172" i="2"/>
  <c r="I172" i="2"/>
  <c r="A173" i="2"/>
  <c r="B173" i="2"/>
  <c r="C173" i="2"/>
  <c r="D173" i="2"/>
  <c r="E173" i="2"/>
  <c r="A174" i="2"/>
  <c r="B174" i="2"/>
  <c r="C174" i="2"/>
  <c r="D174" i="2"/>
  <c r="E174" i="2"/>
  <c r="I174" i="2"/>
  <c r="A175" i="2"/>
  <c r="B175" i="2"/>
  <c r="C175" i="2"/>
  <c r="D175" i="2"/>
  <c r="E175" i="2"/>
  <c r="I175" i="2"/>
  <c r="A176" i="2"/>
  <c r="B176" i="2"/>
  <c r="C176" i="2"/>
  <c r="D176" i="2"/>
  <c r="E176" i="2"/>
  <c r="A177" i="2"/>
  <c r="B177" i="2"/>
  <c r="C177" i="2"/>
  <c r="D177" i="2"/>
  <c r="E177" i="2"/>
  <c r="A178" i="2"/>
  <c r="B178" i="2"/>
  <c r="C178" i="2"/>
  <c r="D178" i="2"/>
  <c r="E178" i="2"/>
  <c r="A179" i="2"/>
  <c r="B179" i="2"/>
  <c r="C179" i="2"/>
  <c r="D179" i="2"/>
  <c r="E179" i="2"/>
  <c r="A180" i="2"/>
  <c r="B180" i="2"/>
  <c r="C180" i="2"/>
  <c r="D180" i="2"/>
  <c r="E180" i="2"/>
  <c r="I180" i="2"/>
  <c r="A181" i="2"/>
  <c r="B181" i="2"/>
  <c r="C181" i="2"/>
  <c r="D181" i="2"/>
  <c r="E181" i="2"/>
  <c r="A182" i="2"/>
  <c r="B182" i="2"/>
  <c r="C182" i="2"/>
  <c r="D182" i="2"/>
  <c r="E182" i="2"/>
  <c r="A183" i="2"/>
  <c r="B183" i="2"/>
  <c r="C183" i="2"/>
  <c r="D183" i="2"/>
  <c r="E183" i="2"/>
  <c r="I183" i="2"/>
  <c r="A184" i="2"/>
  <c r="B184" i="2"/>
  <c r="C184" i="2"/>
  <c r="D184" i="2"/>
  <c r="E184" i="2"/>
  <c r="A185" i="2"/>
  <c r="B185" i="2"/>
  <c r="C185" i="2"/>
  <c r="D185" i="2"/>
  <c r="E185" i="2"/>
  <c r="A186" i="2"/>
  <c r="B186" i="2"/>
  <c r="C186" i="2"/>
  <c r="D186" i="2"/>
  <c r="E186" i="2"/>
  <c r="A187" i="2"/>
  <c r="B187" i="2"/>
  <c r="C187" i="2"/>
  <c r="D187" i="2"/>
  <c r="E187" i="2"/>
  <c r="A188" i="2"/>
  <c r="B188" i="2"/>
  <c r="C188" i="2"/>
  <c r="D188" i="2"/>
  <c r="E188" i="2"/>
  <c r="I188" i="2"/>
  <c r="A189" i="2"/>
  <c r="B189" i="2"/>
  <c r="C189" i="2"/>
  <c r="D189" i="2"/>
  <c r="E189" i="2"/>
  <c r="A190" i="2"/>
  <c r="B190" i="2"/>
  <c r="C190" i="2"/>
  <c r="D190" i="2"/>
  <c r="E190" i="2"/>
  <c r="A191" i="2"/>
  <c r="B191" i="2"/>
  <c r="C191" i="2"/>
  <c r="D191" i="2"/>
  <c r="E191" i="2"/>
  <c r="I191" i="2"/>
  <c r="A192" i="2"/>
  <c r="B192" i="2"/>
  <c r="C192" i="2"/>
  <c r="D192" i="2"/>
  <c r="E192" i="2"/>
  <c r="A193" i="2"/>
  <c r="B193" i="2"/>
  <c r="C193" i="2"/>
  <c r="D193" i="2"/>
  <c r="E193" i="2"/>
  <c r="A194" i="2"/>
  <c r="B194" i="2"/>
  <c r="C194" i="2"/>
  <c r="D194" i="2"/>
  <c r="E194" i="2"/>
  <c r="A195" i="2"/>
  <c r="B195" i="2"/>
  <c r="C195" i="2"/>
  <c r="D195" i="2"/>
  <c r="E195" i="2"/>
  <c r="A196" i="2"/>
  <c r="B196" i="2"/>
  <c r="C196" i="2"/>
  <c r="D196" i="2"/>
  <c r="E196" i="2"/>
  <c r="I196" i="2"/>
  <c r="A197" i="2"/>
  <c r="B197" i="2"/>
  <c r="C197" i="2"/>
  <c r="D197" i="2"/>
  <c r="E197" i="2"/>
  <c r="A198" i="2"/>
  <c r="B198" i="2"/>
  <c r="C198" i="2"/>
  <c r="D198" i="2"/>
  <c r="E198" i="2"/>
  <c r="A199" i="2"/>
  <c r="B199" i="2"/>
  <c r="C199" i="2"/>
  <c r="D199" i="2"/>
  <c r="E199" i="2"/>
  <c r="I199" i="2"/>
  <c r="A200" i="2"/>
  <c r="B200" i="2"/>
  <c r="C200" i="2"/>
  <c r="D200" i="2"/>
  <c r="E200" i="2"/>
  <c r="A201" i="2"/>
  <c r="B201" i="2"/>
  <c r="C201" i="2"/>
  <c r="D201" i="2"/>
  <c r="E201" i="2"/>
  <c r="A202" i="2"/>
  <c r="B202" i="2"/>
  <c r="C202" i="2"/>
  <c r="D202" i="2"/>
  <c r="E202" i="2"/>
  <c r="A203" i="2"/>
  <c r="B203" i="2"/>
  <c r="C203" i="2"/>
  <c r="D203" i="2"/>
  <c r="E203" i="2"/>
  <c r="A204" i="2"/>
  <c r="B204" i="2"/>
  <c r="C204" i="2"/>
  <c r="D204" i="2"/>
  <c r="E204" i="2"/>
  <c r="I204" i="2"/>
  <c r="A205" i="2"/>
  <c r="B205" i="2"/>
  <c r="C205" i="2"/>
  <c r="D205" i="2"/>
  <c r="E205" i="2"/>
  <c r="A206" i="2"/>
  <c r="B206" i="2"/>
  <c r="C206" i="2"/>
  <c r="D206" i="2"/>
  <c r="E206" i="2"/>
  <c r="A207" i="2"/>
  <c r="B207" i="2"/>
  <c r="C207" i="2"/>
  <c r="D207" i="2"/>
  <c r="E207" i="2"/>
  <c r="I207" i="2"/>
  <c r="A208" i="2"/>
  <c r="B208" i="2"/>
  <c r="C208" i="2"/>
  <c r="D208" i="2"/>
  <c r="E208" i="2"/>
  <c r="A209" i="2"/>
  <c r="B209" i="2"/>
  <c r="C209" i="2"/>
  <c r="D209" i="2"/>
  <c r="E209" i="2"/>
  <c r="A210" i="2"/>
  <c r="B210" i="2"/>
  <c r="C210" i="2"/>
  <c r="D210" i="2"/>
  <c r="E210" i="2"/>
  <c r="A211" i="2"/>
  <c r="B211" i="2"/>
  <c r="C211" i="2"/>
  <c r="D211" i="2"/>
  <c r="E211" i="2"/>
  <c r="A212" i="2"/>
  <c r="B212" i="2"/>
  <c r="C212" i="2"/>
  <c r="D212" i="2"/>
  <c r="E212" i="2"/>
  <c r="I212" i="2"/>
  <c r="A213" i="2"/>
  <c r="B213" i="2"/>
  <c r="C213" i="2"/>
  <c r="D213" i="2"/>
  <c r="E213" i="2"/>
  <c r="A214" i="2"/>
  <c r="B214" i="2"/>
  <c r="C214" i="2"/>
  <c r="D214" i="2"/>
  <c r="E214" i="2"/>
  <c r="A215" i="2"/>
  <c r="B215" i="2"/>
  <c r="C215" i="2"/>
  <c r="D215" i="2"/>
  <c r="E215" i="2"/>
  <c r="I215" i="2"/>
  <c r="A216" i="2"/>
  <c r="B216" i="2"/>
  <c r="C216" i="2"/>
  <c r="D216" i="2"/>
  <c r="E216" i="2"/>
  <c r="A217" i="2"/>
  <c r="B217" i="2"/>
  <c r="C217" i="2"/>
  <c r="D217" i="2"/>
  <c r="E217" i="2"/>
  <c r="A218" i="2"/>
  <c r="B218" i="2"/>
  <c r="C218" i="2"/>
  <c r="D218" i="2"/>
  <c r="E218" i="2"/>
  <c r="A219" i="2"/>
  <c r="B219" i="2"/>
  <c r="C219" i="2"/>
  <c r="D219" i="2"/>
  <c r="E219" i="2"/>
  <c r="A220" i="2"/>
  <c r="B220" i="2"/>
  <c r="C220" i="2"/>
  <c r="D220" i="2"/>
  <c r="E220" i="2"/>
  <c r="I220" i="2"/>
  <c r="A221" i="2"/>
  <c r="B221" i="2"/>
  <c r="C221" i="2"/>
  <c r="D221" i="2"/>
  <c r="E221" i="2"/>
  <c r="A222" i="2"/>
  <c r="B222" i="2"/>
  <c r="C222" i="2"/>
  <c r="D222" i="2"/>
  <c r="E222" i="2"/>
  <c r="A223" i="2"/>
  <c r="B223" i="2"/>
  <c r="C223" i="2"/>
  <c r="D223" i="2"/>
  <c r="E223" i="2"/>
  <c r="I223" i="2"/>
  <c r="A224" i="2"/>
  <c r="B224" i="2"/>
  <c r="C224" i="2"/>
  <c r="D224" i="2"/>
  <c r="E224" i="2"/>
  <c r="A225" i="2"/>
  <c r="B225" i="2"/>
  <c r="C225" i="2"/>
  <c r="D225" i="2"/>
  <c r="E225" i="2"/>
  <c r="A226" i="2"/>
  <c r="B226" i="2"/>
  <c r="C226" i="2"/>
  <c r="D226" i="2"/>
  <c r="E226" i="2"/>
  <c r="A227" i="2"/>
  <c r="B227" i="2"/>
  <c r="C227" i="2"/>
  <c r="D227" i="2"/>
  <c r="E227" i="2"/>
  <c r="A228" i="2"/>
  <c r="B228" i="2"/>
  <c r="C228" i="2"/>
  <c r="D228" i="2"/>
  <c r="E228" i="2"/>
  <c r="I228" i="2"/>
  <c r="A229" i="2"/>
  <c r="B229" i="2"/>
  <c r="C229" i="2"/>
  <c r="D229" i="2"/>
  <c r="E229" i="2"/>
  <c r="A230" i="2"/>
  <c r="B230" i="2"/>
  <c r="C230" i="2"/>
  <c r="D230" i="2"/>
  <c r="E230" i="2"/>
  <c r="A231" i="2"/>
  <c r="B231" i="2"/>
  <c r="C231" i="2"/>
  <c r="D231" i="2"/>
  <c r="E231" i="2"/>
  <c r="I231" i="2"/>
  <c r="A232" i="2"/>
  <c r="B232" i="2"/>
  <c r="C232" i="2"/>
  <c r="D232" i="2"/>
  <c r="E232" i="2"/>
  <c r="A233" i="2"/>
  <c r="B233" i="2"/>
  <c r="C233" i="2"/>
  <c r="D233" i="2"/>
  <c r="E233" i="2"/>
  <c r="A234" i="2"/>
  <c r="B234" i="2"/>
  <c r="C234" i="2"/>
  <c r="D234" i="2"/>
  <c r="E234" i="2"/>
  <c r="A235" i="2"/>
  <c r="B235" i="2"/>
  <c r="C235" i="2"/>
  <c r="D235" i="2"/>
  <c r="E235" i="2"/>
  <c r="A236" i="2"/>
  <c r="B236" i="2"/>
  <c r="C236" i="2"/>
  <c r="D236" i="2"/>
  <c r="E236" i="2"/>
  <c r="I236" i="2"/>
  <c r="A237" i="2"/>
  <c r="B237" i="2"/>
  <c r="C237" i="2"/>
  <c r="D237" i="2"/>
  <c r="E237" i="2"/>
  <c r="A238" i="2"/>
  <c r="B238" i="2"/>
  <c r="C238" i="2"/>
  <c r="D238" i="2"/>
  <c r="E238" i="2"/>
  <c r="I238" i="2"/>
  <c r="A239" i="2"/>
  <c r="B239" i="2"/>
  <c r="C239" i="2"/>
  <c r="D239" i="2"/>
  <c r="E239" i="2"/>
  <c r="I239" i="2"/>
  <c r="A240" i="2"/>
  <c r="B240" i="2"/>
  <c r="C240" i="2"/>
  <c r="D240" i="2"/>
  <c r="E240" i="2"/>
  <c r="A241" i="2"/>
  <c r="B241" i="2"/>
  <c r="C241" i="2"/>
  <c r="D241" i="2"/>
  <c r="E241" i="2"/>
  <c r="A242" i="2"/>
  <c r="B242" i="2"/>
  <c r="C242" i="2"/>
  <c r="D242" i="2"/>
  <c r="E242" i="2"/>
  <c r="A243" i="2"/>
  <c r="B243" i="2"/>
  <c r="C243" i="2"/>
  <c r="D243" i="2"/>
  <c r="E243" i="2"/>
  <c r="A244" i="2"/>
  <c r="B244" i="2"/>
  <c r="C244" i="2"/>
  <c r="D244" i="2"/>
  <c r="E244" i="2"/>
  <c r="I244" i="2"/>
  <c r="A245" i="2"/>
  <c r="B245" i="2"/>
  <c r="C245" i="2"/>
  <c r="D245" i="2"/>
  <c r="E245" i="2"/>
  <c r="A246" i="2"/>
  <c r="B246" i="2"/>
  <c r="C246" i="2"/>
  <c r="D246" i="2"/>
  <c r="E246" i="2"/>
  <c r="A247" i="2"/>
  <c r="B247" i="2"/>
  <c r="C247" i="2"/>
  <c r="D247" i="2"/>
  <c r="E247" i="2"/>
  <c r="I247" i="2"/>
  <c r="A248" i="2"/>
  <c r="B248" i="2"/>
  <c r="C248" i="2"/>
  <c r="D248" i="2"/>
  <c r="E248" i="2"/>
  <c r="A249" i="2"/>
  <c r="B249" i="2"/>
  <c r="C249" i="2"/>
  <c r="D249" i="2"/>
  <c r="E249" i="2"/>
  <c r="A250" i="2"/>
  <c r="B250" i="2"/>
  <c r="C250" i="2"/>
  <c r="D250" i="2"/>
  <c r="E250" i="2"/>
  <c r="A251" i="2"/>
  <c r="B251" i="2"/>
  <c r="C251" i="2"/>
  <c r="D251" i="2"/>
  <c r="E251" i="2"/>
  <c r="A252" i="2"/>
  <c r="B252" i="2"/>
  <c r="C252" i="2"/>
  <c r="D252" i="2"/>
  <c r="E252" i="2"/>
  <c r="I252" i="2"/>
  <c r="A253" i="2"/>
  <c r="B253" i="2"/>
  <c r="C253" i="2"/>
  <c r="D253" i="2"/>
  <c r="E253" i="2"/>
  <c r="A254" i="2"/>
  <c r="B254" i="2"/>
  <c r="C254" i="2"/>
  <c r="D254" i="2"/>
  <c r="E254" i="2"/>
  <c r="A255" i="2"/>
  <c r="B255" i="2"/>
  <c r="C255" i="2"/>
  <c r="D255" i="2"/>
  <c r="E255" i="2"/>
  <c r="I255" i="2"/>
  <c r="A256" i="2"/>
  <c r="B256" i="2"/>
  <c r="C256" i="2"/>
  <c r="D256" i="2"/>
  <c r="E256" i="2"/>
  <c r="A257" i="2"/>
  <c r="B257" i="2"/>
  <c r="C257" i="2"/>
  <c r="D257" i="2"/>
  <c r="E257" i="2"/>
  <c r="A258" i="2"/>
  <c r="B258" i="2"/>
  <c r="C258" i="2"/>
  <c r="D258" i="2"/>
  <c r="E258" i="2"/>
  <c r="A259" i="2"/>
  <c r="B259" i="2"/>
  <c r="C259" i="2"/>
  <c r="D259" i="2"/>
  <c r="E259" i="2"/>
  <c r="A260" i="2"/>
  <c r="B260" i="2"/>
  <c r="C260" i="2"/>
  <c r="D260" i="2"/>
  <c r="E260" i="2"/>
  <c r="I260" i="2"/>
  <c r="A261" i="2"/>
  <c r="B261" i="2"/>
  <c r="C261" i="2"/>
  <c r="D261" i="2"/>
  <c r="E261" i="2"/>
  <c r="A262" i="2"/>
  <c r="B262" i="2"/>
  <c r="C262" i="2"/>
  <c r="D262" i="2"/>
  <c r="E262" i="2"/>
  <c r="A263" i="2"/>
  <c r="B263" i="2"/>
  <c r="C263" i="2"/>
  <c r="D263" i="2"/>
  <c r="E263" i="2"/>
  <c r="I263" i="2"/>
  <c r="A264" i="2"/>
  <c r="B264" i="2"/>
  <c r="C264" i="2"/>
  <c r="D264" i="2"/>
  <c r="E264" i="2"/>
  <c r="A265" i="2"/>
  <c r="B265" i="2"/>
  <c r="C265" i="2"/>
  <c r="D265" i="2"/>
  <c r="E265" i="2"/>
  <c r="A266" i="2"/>
  <c r="B266" i="2"/>
  <c r="C266" i="2"/>
  <c r="D266" i="2"/>
  <c r="E266" i="2"/>
  <c r="A267" i="2"/>
  <c r="B267" i="2"/>
  <c r="C267" i="2"/>
  <c r="D267" i="2"/>
  <c r="E267" i="2"/>
  <c r="A268" i="2"/>
  <c r="B268" i="2"/>
  <c r="C268" i="2"/>
  <c r="D268" i="2"/>
  <c r="E268" i="2"/>
  <c r="I268" i="2"/>
  <c r="A269" i="2"/>
  <c r="B269" i="2"/>
  <c r="C269" i="2"/>
  <c r="D269" i="2"/>
  <c r="E269" i="2"/>
  <c r="A270" i="2"/>
  <c r="B270" i="2"/>
  <c r="C270" i="2"/>
  <c r="D270" i="2"/>
  <c r="E270" i="2"/>
  <c r="A271" i="2"/>
  <c r="B271" i="2"/>
  <c r="C271" i="2"/>
  <c r="D271" i="2"/>
  <c r="E271" i="2"/>
  <c r="I271" i="2"/>
  <c r="A272" i="2"/>
  <c r="B272" i="2"/>
  <c r="C272" i="2"/>
  <c r="D272" i="2"/>
  <c r="E272" i="2"/>
  <c r="A273" i="2"/>
  <c r="B273" i="2"/>
  <c r="C273" i="2"/>
  <c r="D273" i="2"/>
  <c r="E273" i="2"/>
  <c r="A274" i="2"/>
  <c r="B274" i="2"/>
  <c r="C274" i="2"/>
  <c r="D274" i="2"/>
  <c r="E274" i="2"/>
  <c r="A275" i="2"/>
  <c r="B275" i="2"/>
  <c r="C275" i="2"/>
  <c r="D275" i="2"/>
  <c r="E275" i="2"/>
  <c r="A276" i="2"/>
  <c r="B276" i="2"/>
  <c r="C276" i="2"/>
  <c r="D276" i="2"/>
  <c r="E276" i="2"/>
  <c r="I276" i="2"/>
  <c r="A277" i="2"/>
  <c r="B277" i="2"/>
  <c r="C277" i="2"/>
  <c r="D277" i="2"/>
  <c r="E277" i="2"/>
  <c r="A278" i="2"/>
  <c r="B278" i="2"/>
  <c r="C278" i="2"/>
  <c r="D278" i="2"/>
  <c r="E278" i="2"/>
  <c r="A279" i="2"/>
  <c r="B279" i="2"/>
  <c r="C279" i="2"/>
  <c r="D279" i="2"/>
  <c r="E279" i="2"/>
  <c r="I279" i="2"/>
  <c r="A280" i="2"/>
  <c r="B280" i="2"/>
  <c r="C280" i="2"/>
  <c r="D280" i="2"/>
  <c r="E280" i="2"/>
  <c r="A281" i="2"/>
  <c r="B281" i="2"/>
  <c r="C281" i="2"/>
  <c r="D281" i="2"/>
  <c r="E281" i="2"/>
  <c r="A282" i="2"/>
  <c r="B282" i="2"/>
  <c r="C282" i="2"/>
  <c r="D282" i="2"/>
  <c r="E282" i="2"/>
  <c r="A283" i="2"/>
  <c r="B283" i="2"/>
  <c r="C283" i="2"/>
  <c r="D283" i="2"/>
  <c r="E283" i="2"/>
  <c r="A284" i="2"/>
  <c r="B284" i="2"/>
  <c r="C284" i="2"/>
  <c r="D284" i="2"/>
  <c r="E284" i="2"/>
  <c r="I284" i="2"/>
  <c r="A285" i="2"/>
  <c r="B285" i="2"/>
  <c r="C285" i="2"/>
  <c r="D285" i="2"/>
  <c r="E285" i="2"/>
  <c r="A286" i="2"/>
  <c r="B286" i="2"/>
  <c r="C286" i="2"/>
  <c r="D286" i="2"/>
  <c r="E286" i="2"/>
  <c r="A287" i="2"/>
  <c r="B287" i="2"/>
  <c r="C287" i="2"/>
  <c r="D287" i="2"/>
  <c r="E287" i="2"/>
  <c r="I287" i="2"/>
  <c r="A288" i="2"/>
  <c r="B288" i="2"/>
  <c r="C288" i="2"/>
  <c r="D288" i="2"/>
  <c r="E288" i="2"/>
  <c r="A289" i="2"/>
  <c r="B289" i="2"/>
  <c r="C289" i="2"/>
  <c r="D289" i="2"/>
  <c r="E289" i="2"/>
  <c r="A290" i="2"/>
  <c r="B290" i="2"/>
  <c r="C290" i="2"/>
  <c r="D290" i="2"/>
  <c r="E290" i="2"/>
  <c r="A291" i="2"/>
  <c r="B291" i="2"/>
  <c r="C291" i="2"/>
  <c r="D291" i="2"/>
  <c r="E291" i="2"/>
  <c r="A292" i="2"/>
  <c r="B292" i="2"/>
  <c r="C292" i="2"/>
  <c r="D292" i="2"/>
  <c r="E292" i="2"/>
  <c r="I292" i="2"/>
  <c r="A293" i="2"/>
  <c r="B293" i="2"/>
  <c r="C293" i="2"/>
  <c r="D293" i="2"/>
  <c r="E293" i="2"/>
  <c r="A294" i="2"/>
  <c r="B294" i="2"/>
  <c r="C294" i="2"/>
  <c r="D294" i="2"/>
  <c r="E294" i="2"/>
  <c r="A295" i="2"/>
  <c r="B295" i="2"/>
  <c r="C295" i="2"/>
  <c r="D295" i="2"/>
  <c r="E295" i="2"/>
  <c r="I295" i="2"/>
  <c r="A296" i="2"/>
  <c r="B296" i="2"/>
  <c r="C296" i="2"/>
  <c r="D296" i="2"/>
  <c r="E296" i="2"/>
  <c r="A297" i="2"/>
  <c r="B297" i="2"/>
  <c r="C297" i="2"/>
  <c r="D297" i="2"/>
  <c r="E297" i="2"/>
  <c r="A298" i="2"/>
  <c r="B298" i="2"/>
  <c r="C298" i="2"/>
  <c r="D298" i="2"/>
  <c r="E298" i="2"/>
  <c r="A299" i="2"/>
  <c r="B299" i="2"/>
  <c r="C299" i="2"/>
  <c r="D299" i="2"/>
  <c r="E299" i="2"/>
  <c r="A300" i="2"/>
  <c r="B300" i="2"/>
  <c r="C300" i="2"/>
  <c r="D300" i="2"/>
  <c r="E300" i="2"/>
  <c r="I300" i="2"/>
  <c r="A301" i="2"/>
  <c r="B301" i="2"/>
  <c r="C301" i="2"/>
  <c r="D301" i="2"/>
  <c r="E301" i="2"/>
  <c r="A302" i="2"/>
  <c r="B302" i="2"/>
  <c r="C302" i="2"/>
  <c r="D302" i="2"/>
  <c r="E302" i="2"/>
  <c r="I302" i="2"/>
  <c r="A303" i="2"/>
  <c r="B303" i="2"/>
  <c r="C303" i="2"/>
  <c r="D303" i="2"/>
  <c r="E303" i="2"/>
  <c r="I303" i="2"/>
  <c r="A304" i="2"/>
  <c r="B304" i="2"/>
  <c r="C304" i="2"/>
  <c r="D304" i="2"/>
  <c r="E304" i="2"/>
  <c r="A305" i="2"/>
  <c r="B305" i="2"/>
  <c r="C305" i="2"/>
  <c r="D305" i="2"/>
  <c r="E305" i="2"/>
  <c r="A306" i="2"/>
  <c r="B306" i="2"/>
  <c r="C306" i="2"/>
  <c r="D306" i="2"/>
  <c r="E306" i="2"/>
  <c r="A307" i="2"/>
  <c r="B307" i="2"/>
  <c r="C307" i="2"/>
  <c r="D307" i="2"/>
  <c r="E307" i="2"/>
  <c r="A308" i="2"/>
  <c r="B308" i="2"/>
  <c r="C308" i="2"/>
  <c r="D308" i="2"/>
  <c r="E308" i="2"/>
  <c r="I308" i="2"/>
  <c r="A309" i="2"/>
  <c r="B309" i="2"/>
  <c r="C309" i="2"/>
  <c r="D309" i="2"/>
  <c r="E309" i="2"/>
  <c r="A310" i="2"/>
  <c r="B310" i="2"/>
  <c r="C310" i="2"/>
  <c r="D310" i="2"/>
  <c r="E310" i="2"/>
  <c r="A311" i="2"/>
  <c r="B311" i="2"/>
  <c r="C311" i="2"/>
  <c r="D311" i="2"/>
  <c r="E311" i="2"/>
  <c r="I311" i="2"/>
  <c r="A312" i="2"/>
  <c r="B312" i="2"/>
  <c r="C312" i="2"/>
  <c r="D312" i="2"/>
  <c r="E312" i="2"/>
  <c r="A313" i="2"/>
  <c r="B313" i="2"/>
  <c r="C313" i="2"/>
  <c r="D313" i="2"/>
  <c r="E313" i="2"/>
  <c r="A314" i="2"/>
  <c r="B314" i="2"/>
  <c r="C314" i="2"/>
  <c r="D314" i="2"/>
  <c r="E314" i="2"/>
  <c r="A315" i="2"/>
  <c r="B315" i="2"/>
  <c r="C315" i="2"/>
  <c r="D315" i="2"/>
  <c r="E315" i="2"/>
  <c r="A316" i="2"/>
  <c r="B316" i="2"/>
  <c r="C316" i="2"/>
  <c r="D316" i="2"/>
  <c r="E316" i="2"/>
  <c r="I316" i="2"/>
  <c r="A317" i="2"/>
  <c r="B317" i="2"/>
  <c r="C317" i="2"/>
  <c r="D317" i="2"/>
  <c r="E317" i="2"/>
  <c r="A318" i="2"/>
  <c r="B318" i="2"/>
  <c r="C318" i="2"/>
  <c r="D318" i="2"/>
  <c r="E318" i="2"/>
  <c r="A319" i="2"/>
  <c r="B319" i="2"/>
  <c r="C319" i="2"/>
  <c r="D319" i="2"/>
  <c r="E319" i="2"/>
  <c r="I319" i="2"/>
  <c r="A320" i="2"/>
  <c r="B320" i="2"/>
  <c r="C320" i="2"/>
  <c r="D320" i="2"/>
  <c r="E320" i="2"/>
  <c r="A321" i="2"/>
  <c r="B321" i="2"/>
  <c r="C321" i="2"/>
  <c r="D321" i="2"/>
  <c r="E321" i="2"/>
  <c r="A322" i="2"/>
  <c r="B322" i="2"/>
  <c r="C322" i="2"/>
  <c r="D322" i="2"/>
  <c r="E322" i="2"/>
  <c r="A323" i="2"/>
  <c r="B323" i="2"/>
  <c r="C323" i="2"/>
  <c r="D323" i="2"/>
  <c r="E323" i="2"/>
  <c r="A324" i="2"/>
  <c r="B324" i="2"/>
  <c r="C324" i="2"/>
  <c r="D324" i="2"/>
  <c r="E324" i="2"/>
  <c r="I324" i="2"/>
  <c r="A325" i="2"/>
  <c r="B325" i="2"/>
  <c r="C325" i="2"/>
  <c r="D325" i="2"/>
  <c r="E325" i="2"/>
  <c r="A326" i="2"/>
  <c r="B326" i="2"/>
  <c r="C326" i="2"/>
  <c r="D326" i="2"/>
  <c r="E326" i="2"/>
  <c r="A327" i="2"/>
  <c r="B327" i="2"/>
  <c r="C327" i="2"/>
  <c r="D327" i="2"/>
  <c r="E327" i="2"/>
  <c r="I327" i="2"/>
  <c r="A328" i="2"/>
  <c r="B328" i="2"/>
  <c r="C328" i="2"/>
  <c r="D328" i="2"/>
  <c r="E328" i="2"/>
  <c r="A329" i="2"/>
  <c r="B329" i="2"/>
  <c r="C329" i="2"/>
  <c r="D329" i="2"/>
  <c r="E329" i="2"/>
  <c r="A330" i="2"/>
  <c r="B330" i="2"/>
  <c r="C330" i="2"/>
  <c r="D330" i="2"/>
  <c r="E330" i="2"/>
  <c r="A331" i="2"/>
  <c r="C331" i="2"/>
  <c r="D331" i="2"/>
  <c r="E331" i="2"/>
  <c r="A332" i="2"/>
  <c r="B332" i="2"/>
  <c r="C332" i="2"/>
  <c r="D332" i="2"/>
  <c r="E332" i="2"/>
  <c r="I332" i="2"/>
  <c r="A333" i="2"/>
  <c r="B333" i="2"/>
  <c r="C333" i="2"/>
  <c r="D333" i="2"/>
  <c r="E333" i="2"/>
  <c r="A334" i="2"/>
  <c r="B334" i="2"/>
  <c r="C334" i="2"/>
  <c r="D334" i="2"/>
  <c r="E334" i="2"/>
  <c r="A335" i="2"/>
  <c r="B335" i="2"/>
  <c r="C335" i="2"/>
  <c r="D335" i="2"/>
  <c r="E335" i="2"/>
  <c r="I335" i="2"/>
  <c r="A336" i="2"/>
  <c r="B336" i="2"/>
  <c r="C336" i="2"/>
  <c r="D336" i="2"/>
  <c r="E336" i="2"/>
  <c r="A337" i="2"/>
  <c r="B337" i="2"/>
  <c r="C337" i="2"/>
  <c r="D337" i="2"/>
  <c r="E337" i="2"/>
  <c r="A338" i="2"/>
  <c r="B338" i="2"/>
  <c r="C338" i="2"/>
  <c r="D338" i="2"/>
  <c r="E338" i="2"/>
  <c r="A339" i="2"/>
  <c r="B339" i="2"/>
  <c r="C339" i="2"/>
  <c r="D339" i="2"/>
  <c r="E339" i="2"/>
  <c r="A340" i="2"/>
  <c r="B340" i="2"/>
  <c r="C340" i="2"/>
  <c r="D340" i="2"/>
  <c r="E340" i="2"/>
  <c r="I340" i="2"/>
  <c r="A341" i="2"/>
  <c r="B341" i="2"/>
  <c r="C341" i="2"/>
  <c r="D341" i="2"/>
  <c r="E341" i="2"/>
  <c r="A342" i="2"/>
  <c r="B342" i="2"/>
  <c r="C342" i="2"/>
  <c r="D342" i="2"/>
  <c r="E342" i="2"/>
  <c r="A343" i="2"/>
  <c r="B343" i="2"/>
  <c r="C343" i="2"/>
  <c r="D343" i="2"/>
  <c r="E343" i="2"/>
  <c r="I343" i="2"/>
  <c r="A344" i="2"/>
  <c r="B344" i="2"/>
  <c r="C344" i="2"/>
  <c r="D344" i="2"/>
  <c r="E344" i="2"/>
  <c r="A345" i="2"/>
  <c r="B345" i="2"/>
  <c r="C345" i="2"/>
  <c r="D345" i="2"/>
  <c r="E345" i="2"/>
  <c r="A346" i="2"/>
  <c r="B346" i="2"/>
  <c r="C346" i="2"/>
  <c r="D346" i="2"/>
  <c r="E346" i="2"/>
  <c r="A347" i="2"/>
  <c r="B347" i="2"/>
  <c r="C347" i="2"/>
  <c r="D347" i="2"/>
  <c r="E347" i="2"/>
  <c r="A348" i="2"/>
  <c r="B348" i="2"/>
  <c r="C348" i="2"/>
  <c r="D348" i="2"/>
  <c r="E348" i="2"/>
  <c r="I348" i="2"/>
  <c r="A349" i="2"/>
  <c r="B349" i="2"/>
  <c r="C349" i="2"/>
  <c r="D349" i="2"/>
  <c r="E349" i="2"/>
  <c r="A350" i="2"/>
  <c r="B350" i="2"/>
  <c r="C350" i="2"/>
  <c r="D350" i="2"/>
  <c r="E350" i="2"/>
  <c r="A351" i="2"/>
  <c r="B351" i="2"/>
  <c r="C351" i="2"/>
  <c r="D351" i="2"/>
  <c r="E351" i="2"/>
  <c r="I351" i="2"/>
  <c r="A352" i="2"/>
  <c r="B352" i="2"/>
  <c r="C352" i="2"/>
  <c r="D352" i="2"/>
  <c r="E352" i="2"/>
  <c r="A353" i="2"/>
  <c r="B353" i="2"/>
  <c r="C353" i="2"/>
  <c r="D353" i="2"/>
  <c r="E353" i="2"/>
  <c r="A354" i="2"/>
  <c r="B354" i="2"/>
  <c r="C354" i="2"/>
  <c r="D354" i="2"/>
  <c r="E354" i="2"/>
  <c r="A355" i="2"/>
  <c r="B355" i="2"/>
  <c r="C355" i="2"/>
  <c r="D355" i="2"/>
  <c r="E355" i="2"/>
  <c r="A356" i="2"/>
  <c r="B356" i="2"/>
  <c r="C356" i="2"/>
  <c r="D356" i="2"/>
  <c r="E356" i="2"/>
  <c r="I356" i="2"/>
  <c r="A357" i="2"/>
  <c r="B357" i="2"/>
  <c r="C357" i="2"/>
  <c r="D357" i="2"/>
  <c r="E357" i="2"/>
  <c r="A358" i="2"/>
  <c r="B358" i="2"/>
  <c r="C358" i="2"/>
  <c r="D358" i="2"/>
  <c r="E358" i="2"/>
  <c r="A359" i="2"/>
  <c r="B359" i="2"/>
  <c r="C359" i="2"/>
  <c r="D359" i="2"/>
  <c r="E359" i="2"/>
  <c r="I359" i="2"/>
  <c r="A360" i="2"/>
  <c r="B360" i="2"/>
  <c r="C360" i="2"/>
  <c r="D360" i="2"/>
  <c r="E360" i="2"/>
  <c r="A361" i="2"/>
  <c r="B361" i="2"/>
  <c r="C361" i="2"/>
  <c r="D361" i="2"/>
  <c r="E361" i="2"/>
  <c r="A362" i="2"/>
  <c r="B362" i="2"/>
  <c r="C362" i="2"/>
  <c r="D362" i="2"/>
  <c r="E362" i="2"/>
  <c r="A363" i="2"/>
  <c r="B363" i="2"/>
  <c r="C363" i="2"/>
  <c r="D363" i="2"/>
  <c r="E363" i="2"/>
  <c r="A364" i="2"/>
  <c r="B364" i="2"/>
  <c r="C364" i="2"/>
  <c r="D364" i="2"/>
  <c r="E364" i="2"/>
  <c r="I364" i="2"/>
  <c r="A365" i="2"/>
  <c r="B365" i="2"/>
  <c r="C365" i="2"/>
  <c r="D365" i="2"/>
  <c r="E365" i="2"/>
  <c r="A366" i="2"/>
  <c r="B366" i="2"/>
  <c r="C366" i="2"/>
  <c r="D366" i="2"/>
  <c r="E366" i="2"/>
  <c r="I366" i="2"/>
  <c r="A367" i="2"/>
  <c r="B367" i="2"/>
  <c r="C367" i="2"/>
  <c r="D367" i="2"/>
  <c r="E367" i="2"/>
  <c r="I367" i="2"/>
  <c r="A368" i="2"/>
  <c r="B368" i="2"/>
  <c r="C368" i="2"/>
  <c r="D368" i="2"/>
  <c r="E368" i="2"/>
  <c r="A369" i="2"/>
  <c r="B369" i="2"/>
  <c r="C369" i="2"/>
  <c r="D369" i="2"/>
  <c r="E369" i="2"/>
  <c r="A370" i="2"/>
  <c r="B370" i="2"/>
  <c r="C370" i="2"/>
  <c r="D370" i="2"/>
  <c r="E370" i="2"/>
  <c r="A371" i="2"/>
  <c r="B371" i="2"/>
  <c r="C371" i="2"/>
  <c r="D371" i="2"/>
  <c r="E371" i="2"/>
  <c r="A372" i="2"/>
  <c r="B372" i="2"/>
  <c r="C372" i="2"/>
  <c r="D372" i="2"/>
  <c r="E372" i="2"/>
  <c r="I372" i="2"/>
  <c r="A373" i="2"/>
  <c r="B373" i="2"/>
  <c r="C373" i="2"/>
  <c r="D373" i="2"/>
  <c r="E373" i="2"/>
  <c r="A374" i="2"/>
  <c r="B374" i="2"/>
  <c r="C374" i="2"/>
  <c r="D374" i="2"/>
  <c r="E374" i="2"/>
  <c r="A375" i="2"/>
  <c r="B375" i="2"/>
  <c r="C375" i="2"/>
  <c r="D375" i="2"/>
  <c r="E375" i="2"/>
  <c r="I375" i="2"/>
  <c r="A376" i="2"/>
  <c r="B376" i="2"/>
  <c r="C376" i="2"/>
  <c r="D376" i="2"/>
  <c r="E376" i="2"/>
  <c r="A377" i="2"/>
  <c r="B377" i="2"/>
  <c r="C377" i="2"/>
  <c r="D377" i="2"/>
  <c r="E377" i="2"/>
  <c r="A378" i="2"/>
  <c r="B378" i="2"/>
  <c r="C378" i="2"/>
  <c r="D378" i="2"/>
  <c r="E378" i="2"/>
  <c r="A379" i="2"/>
  <c r="B379" i="2"/>
  <c r="C379" i="2"/>
  <c r="D379" i="2"/>
  <c r="E379" i="2"/>
  <c r="A380" i="2"/>
  <c r="B380" i="2"/>
  <c r="C380" i="2"/>
  <c r="D380" i="2"/>
  <c r="E380" i="2"/>
  <c r="I380" i="2"/>
  <c r="A381" i="2"/>
  <c r="B381" i="2"/>
  <c r="C381" i="2"/>
  <c r="D381" i="2"/>
  <c r="E381" i="2"/>
  <c r="A382" i="2"/>
  <c r="B382" i="2"/>
  <c r="C382" i="2"/>
  <c r="D382" i="2"/>
  <c r="E382" i="2"/>
  <c r="A383" i="2"/>
  <c r="B383" i="2"/>
  <c r="C383" i="2"/>
  <c r="D383" i="2"/>
  <c r="E383" i="2"/>
  <c r="I383" i="2"/>
  <c r="A384" i="2"/>
  <c r="B384" i="2"/>
  <c r="C384" i="2"/>
  <c r="D384" i="2"/>
  <c r="E384" i="2"/>
  <c r="A385" i="2"/>
  <c r="B385" i="2"/>
  <c r="C385" i="2"/>
  <c r="D385" i="2"/>
  <c r="E385" i="2"/>
  <c r="A386" i="2"/>
  <c r="B386" i="2"/>
  <c r="C386" i="2"/>
  <c r="D386" i="2"/>
  <c r="E386" i="2"/>
  <c r="A387" i="2"/>
  <c r="B387" i="2"/>
  <c r="C387" i="2"/>
  <c r="D387" i="2"/>
  <c r="E387" i="2"/>
  <c r="A388" i="2"/>
  <c r="B388" i="2"/>
  <c r="C388" i="2"/>
  <c r="D388" i="2"/>
  <c r="E388" i="2"/>
  <c r="I388" i="2"/>
  <c r="A389" i="2"/>
  <c r="B389" i="2"/>
  <c r="C389" i="2"/>
  <c r="D389" i="2"/>
  <c r="E389" i="2"/>
  <c r="A390" i="2"/>
  <c r="B390" i="2"/>
  <c r="C390" i="2"/>
  <c r="D390" i="2"/>
  <c r="E390" i="2"/>
  <c r="A391" i="2"/>
  <c r="B391" i="2"/>
  <c r="C391" i="2"/>
  <c r="D391" i="2"/>
  <c r="E391" i="2"/>
  <c r="I391" i="2"/>
  <c r="A392" i="2"/>
  <c r="B392" i="2"/>
  <c r="C392" i="2"/>
  <c r="D392" i="2"/>
  <c r="E392" i="2"/>
  <c r="A393" i="2"/>
  <c r="B393" i="2"/>
  <c r="C393" i="2"/>
  <c r="D393" i="2"/>
  <c r="E393" i="2"/>
  <c r="A394" i="2"/>
  <c r="B394" i="2"/>
  <c r="C394" i="2"/>
  <c r="D394" i="2"/>
  <c r="E394" i="2"/>
  <c r="A395" i="2"/>
  <c r="B395" i="2"/>
  <c r="C395" i="2"/>
  <c r="D395" i="2"/>
  <c r="E395" i="2"/>
  <c r="A396" i="2"/>
  <c r="B396" i="2"/>
  <c r="C396" i="2"/>
  <c r="D396" i="2"/>
  <c r="E396" i="2"/>
  <c r="I396" i="2"/>
  <c r="A397" i="2"/>
  <c r="B397" i="2"/>
  <c r="C397" i="2"/>
  <c r="D397" i="2"/>
  <c r="E397" i="2"/>
  <c r="A398" i="2"/>
  <c r="B398" i="2"/>
  <c r="C398" i="2"/>
  <c r="D398" i="2"/>
  <c r="E398" i="2"/>
  <c r="A399" i="2"/>
  <c r="B399" i="2"/>
  <c r="C399" i="2"/>
  <c r="D399" i="2"/>
  <c r="E399" i="2"/>
  <c r="I399" i="2"/>
  <c r="A400" i="2"/>
  <c r="B400" i="2"/>
  <c r="C400" i="2"/>
  <c r="D400" i="2"/>
  <c r="E400" i="2"/>
  <c r="A401" i="2"/>
  <c r="B401" i="2"/>
  <c r="C401" i="2"/>
  <c r="D401" i="2"/>
  <c r="E401" i="2"/>
  <c r="A402" i="2"/>
  <c r="B402" i="2"/>
  <c r="C402" i="2"/>
  <c r="D402" i="2"/>
  <c r="E402" i="2"/>
  <c r="A403" i="2"/>
  <c r="B403" i="2"/>
  <c r="C403" i="2"/>
  <c r="D403" i="2"/>
  <c r="E403" i="2"/>
  <c r="A404" i="2"/>
  <c r="B404" i="2"/>
  <c r="C404" i="2"/>
  <c r="D404" i="2"/>
  <c r="E404" i="2"/>
  <c r="I404" i="2"/>
  <c r="A405" i="2"/>
  <c r="B405" i="2"/>
  <c r="C405" i="2"/>
  <c r="D405" i="2"/>
  <c r="E405" i="2"/>
  <c r="A406" i="2"/>
  <c r="B406" i="2"/>
  <c r="C406" i="2"/>
  <c r="D406" i="2"/>
  <c r="E406" i="2"/>
  <c r="A407" i="2"/>
  <c r="B407" i="2"/>
  <c r="C407" i="2"/>
  <c r="D407" i="2"/>
  <c r="E407" i="2"/>
  <c r="I407" i="2"/>
  <c r="A408" i="2"/>
  <c r="B408" i="2"/>
  <c r="C408" i="2"/>
  <c r="D408" i="2"/>
  <c r="E408" i="2"/>
  <c r="A409" i="2"/>
  <c r="B409" i="2"/>
  <c r="C409" i="2"/>
  <c r="D409" i="2"/>
  <c r="E409" i="2"/>
  <c r="A410" i="2"/>
  <c r="B410" i="2"/>
  <c r="C410" i="2"/>
  <c r="D410" i="2"/>
  <c r="E410" i="2"/>
  <c r="A411" i="2"/>
  <c r="B411" i="2"/>
  <c r="C411" i="2"/>
  <c r="D411" i="2"/>
  <c r="E411" i="2"/>
  <c r="A412" i="2"/>
  <c r="B412" i="2"/>
  <c r="C412" i="2"/>
  <c r="D412" i="2"/>
  <c r="E412" i="2"/>
  <c r="I412" i="2"/>
  <c r="A413" i="2"/>
  <c r="B413" i="2"/>
  <c r="C413" i="2"/>
  <c r="D413" i="2"/>
  <c r="E413" i="2"/>
  <c r="A414" i="2"/>
  <c r="B414" i="2"/>
  <c r="C414" i="2"/>
  <c r="D414" i="2"/>
  <c r="E414" i="2"/>
  <c r="A415" i="2"/>
  <c r="B415" i="2"/>
  <c r="C415" i="2"/>
  <c r="D415" i="2"/>
  <c r="E415" i="2"/>
  <c r="I415" i="2"/>
  <c r="A416" i="2"/>
  <c r="B416" i="2"/>
  <c r="C416" i="2"/>
  <c r="D416" i="2"/>
  <c r="E416" i="2"/>
  <c r="A417" i="2"/>
  <c r="B417" i="2"/>
  <c r="C417" i="2"/>
  <c r="D417" i="2"/>
  <c r="E417" i="2"/>
  <c r="A418" i="2"/>
  <c r="B418" i="2"/>
  <c r="C418" i="2"/>
  <c r="D418" i="2"/>
  <c r="E418" i="2"/>
  <c r="A419" i="2"/>
  <c r="B419" i="2"/>
  <c r="C419" i="2"/>
  <c r="D419" i="2"/>
  <c r="E419" i="2"/>
  <c r="A420" i="2"/>
  <c r="B420" i="2"/>
  <c r="C420" i="2"/>
  <c r="D420" i="2"/>
  <c r="E420" i="2"/>
  <c r="A421" i="2"/>
  <c r="B421" i="2"/>
  <c r="C421" i="2"/>
  <c r="D421" i="2"/>
  <c r="E421" i="2"/>
  <c r="A422" i="2"/>
  <c r="B422" i="2"/>
  <c r="C422" i="2"/>
  <c r="D422" i="2"/>
  <c r="E422" i="2"/>
  <c r="A423" i="2"/>
  <c r="B423" i="2"/>
  <c r="C423" i="2"/>
  <c r="D423" i="2"/>
  <c r="E423" i="2"/>
  <c r="A424" i="2"/>
  <c r="B424" i="2"/>
  <c r="C424" i="2"/>
  <c r="D424" i="2"/>
  <c r="E424" i="2"/>
  <c r="A425" i="2"/>
  <c r="B425" i="2"/>
  <c r="C425" i="2"/>
  <c r="D425" i="2"/>
  <c r="E425" i="2"/>
  <c r="A426" i="2"/>
  <c r="B426" i="2"/>
  <c r="C426" i="2"/>
  <c r="D426" i="2"/>
  <c r="E426" i="2"/>
  <c r="A427" i="2"/>
  <c r="B427" i="2"/>
  <c r="C427" i="2"/>
  <c r="D427" i="2"/>
  <c r="E427" i="2"/>
  <c r="A428" i="2"/>
  <c r="B428" i="2"/>
  <c r="C428" i="2"/>
  <c r="D428" i="2"/>
  <c r="E428" i="2"/>
  <c r="A429" i="2"/>
  <c r="B429" i="2"/>
  <c r="C429" i="2"/>
  <c r="D429" i="2"/>
  <c r="E429" i="2"/>
  <c r="A430" i="2"/>
  <c r="B430" i="2"/>
  <c r="C430" i="2"/>
  <c r="D430" i="2"/>
  <c r="E430" i="2"/>
  <c r="I430" i="2"/>
  <c r="A431" i="2"/>
  <c r="B431" i="2"/>
  <c r="C431" i="2"/>
  <c r="D431" i="2"/>
  <c r="E431" i="2"/>
  <c r="A432" i="2"/>
  <c r="B432" i="2"/>
  <c r="C432" i="2"/>
  <c r="D432" i="2"/>
  <c r="E432" i="2"/>
  <c r="A433" i="2"/>
  <c r="B433" i="2"/>
  <c r="C433" i="2"/>
  <c r="D433" i="2"/>
  <c r="E433" i="2"/>
  <c r="A434" i="2"/>
  <c r="B434" i="2"/>
  <c r="C434" i="2"/>
  <c r="D434" i="2"/>
  <c r="E434" i="2"/>
  <c r="A435" i="2"/>
  <c r="B435" i="2"/>
  <c r="C435" i="2"/>
  <c r="D435" i="2"/>
  <c r="E435" i="2"/>
  <c r="A436" i="2"/>
  <c r="B436" i="2"/>
  <c r="C436" i="2"/>
  <c r="D436" i="2"/>
  <c r="E436" i="2"/>
  <c r="A437" i="2"/>
  <c r="B437" i="2"/>
  <c r="C437" i="2"/>
  <c r="D437" i="2"/>
  <c r="E437" i="2"/>
  <c r="A438" i="2"/>
  <c r="B438" i="2"/>
  <c r="C438" i="2"/>
  <c r="D438" i="2"/>
  <c r="E438" i="2"/>
  <c r="A439" i="2"/>
  <c r="B439" i="2"/>
  <c r="C439" i="2"/>
  <c r="D439" i="2"/>
  <c r="E439" i="2"/>
  <c r="A440" i="2"/>
  <c r="B440" i="2"/>
  <c r="C440" i="2"/>
  <c r="D440" i="2"/>
  <c r="E440" i="2"/>
  <c r="A441" i="2"/>
  <c r="B441" i="2"/>
  <c r="C441" i="2"/>
  <c r="D441" i="2"/>
  <c r="E441" i="2"/>
  <c r="A442" i="2"/>
  <c r="B442" i="2"/>
  <c r="C442" i="2"/>
  <c r="D442" i="2"/>
  <c r="E442" i="2"/>
  <c r="A443" i="2"/>
  <c r="B443" i="2"/>
  <c r="C443" i="2"/>
  <c r="D443" i="2"/>
  <c r="E443" i="2"/>
  <c r="A444" i="2"/>
  <c r="B444" i="2"/>
  <c r="C444" i="2"/>
  <c r="D444" i="2"/>
  <c r="E444" i="2"/>
  <c r="A445" i="2"/>
  <c r="B445" i="2"/>
  <c r="C445" i="2"/>
  <c r="D445" i="2"/>
  <c r="E445" i="2"/>
  <c r="A446" i="2"/>
  <c r="B446" i="2"/>
  <c r="C446" i="2"/>
  <c r="D446" i="2"/>
  <c r="E446" i="2"/>
  <c r="A447" i="2"/>
  <c r="B447" i="2"/>
  <c r="C447" i="2"/>
  <c r="D447" i="2"/>
  <c r="E447" i="2"/>
  <c r="A448" i="2"/>
  <c r="B448" i="2"/>
  <c r="C448" i="2"/>
  <c r="D448" i="2"/>
  <c r="E448" i="2"/>
  <c r="A449" i="2"/>
  <c r="B449" i="2"/>
  <c r="C449" i="2"/>
  <c r="D449" i="2"/>
  <c r="E449" i="2"/>
  <c r="A450" i="2"/>
  <c r="B450" i="2"/>
  <c r="C450" i="2"/>
  <c r="D450" i="2"/>
  <c r="E450" i="2"/>
  <c r="A451" i="2"/>
  <c r="B451" i="2"/>
  <c r="C451" i="2"/>
  <c r="D451" i="2"/>
  <c r="E451" i="2"/>
  <c r="A452" i="2"/>
  <c r="B452" i="2"/>
  <c r="C452" i="2"/>
  <c r="D452" i="2"/>
  <c r="E452" i="2"/>
  <c r="I452" i="2"/>
  <c r="A453" i="2"/>
  <c r="B453" i="2"/>
  <c r="C453" i="2"/>
  <c r="D453" i="2"/>
  <c r="E453" i="2"/>
  <c r="A454" i="2"/>
  <c r="B454" i="2"/>
  <c r="C454" i="2"/>
  <c r="D454" i="2"/>
  <c r="E454" i="2"/>
  <c r="A455" i="2"/>
  <c r="B455" i="2"/>
  <c r="C455" i="2"/>
  <c r="D455" i="2"/>
  <c r="E455" i="2"/>
  <c r="A456" i="2"/>
  <c r="B456" i="2"/>
  <c r="C456" i="2"/>
  <c r="D456" i="2"/>
  <c r="E456" i="2"/>
  <c r="A457" i="2"/>
  <c r="B457" i="2"/>
  <c r="C457" i="2"/>
  <c r="D457" i="2"/>
  <c r="E457" i="2"/>
  <c r="A458" i="2"/>
  <c r="B458" i="2"/>
  <c r="C458" i="2"/>
  <c r="D458" i="2"/>
  <c r="E458" i="2"/>
  <c r="A459" i="2"/>
  <c r="B459" i="2"/>
  <c r="C459" i="2"/>
  <c r="D459" i="2"/>
  <c r="E459" i="2"/>
  <c r="A460" i="2"/>
  <c r="B460" i="2"/>
  <c r="C460" i="2"/>
  <c r="D460" i="2"/>
  <c r="E460" i="2"/>
  <c r="A461" i="2"/>
  <c r="B461" i="2"/>
  <c r="C461" i="2"/>
  <c r="D461" i="2"/>
  <c r="E461" i="2"/>
  <c r="A462" i="2"/>
  <c r="B462" i="2"/>
  <c r="C462" i="2"/>
  <c r="D462" i="2"/>
  <c r="E462" i="2"/>
  <c r="A463" i="2"/>
  <c r="B463" i="2"/>
  <c r="C463" i="2"/>
  <c r="D463" i="2"/>
  <c r="E463" i="2"/>
  <c r="A464" i="2"/>
  <c r="B464" i="2"/>
  <c r="C464" i="2"/>
  <c r="D464" i="2"/>
  <c r="E464" i="2"/>
  <c r="A465" i="2"/>
  <c r="B465" i="2"/>
  <c r="C465" i="2"/>
  <c r="D465" i="2"/>
  <c r="E465" i="2"/>
  <c r="A466" i="2"/>
  <c r="B466" i="2"/>
  <c r="C466" i="2"/>
  <c r="D466" i="2"/>
  <c r="E466" i="2"/>
  <c r="A467" i="2"/>
  <c r="B467" i="2"/>
  <c r="C467" i="2"/>
  <c r="D467" i="2"/>
  <c r="E467" i="2"/>
  <c r="A468" i="2"/>
  <c r="B468" i="2"/>
  <c r="C468" i="2"/>
  <c r="D468" i="2"/>
  <c r="E468" i="2"/>
  <c r="A469" i="2"/>
  <c r="B469" i="2"/>
  <c r="C469" i="2"/>
  <c r="D469" i="2"/>
  <c r="E469" i="2"/>
  <c r="A470" i="2"/>
  <c r="B470" i="2"/>
  <c r="C470" i="2"/>
  <c r="D470" i="2"/>
  <c r="E470" i="2"/>
  <c r="A471" i="2"/>
  <c r="B471" i="2"/>
  <c r="C471" i="2"/>
  <c r="D471" i="2"/>
  <c r="E471" i="2"/>
  <c r="I471" i="2"/>
  <c r="A472" i="2"/>
  <c r="B472" i="2"/>
  <c r="C472" i="2"/>
  <c r="D472" i="2"/>
  <c r="E472" i="2"/>
  <c r="A473" i="2"/>
  <c r="B473" i="2"/>
  <c r="C473" i="2"/>
  <c r="D473" i="2"/>
  <c r="E473" i="2"/>
  <c r="A474" i="2"/>
  <c r="B474" i="2"/>
  <c r="C474" i="2"/>
  <c r="D474" i="2"/>
  <c r="E474" i="2"/>
  <c r="A475" i="2"/>
  <c r="B475" i="2"/>
  <c r="C475" i="2"/>
  <c r="D475" i="2"/>
  <c r="E475" i="2"/>
  <c r="A476" i="2"/>
  <c r="B476" i="2"/>
  <c r="C476" i="2"/>
  <c r="D476" i="2"/>
  <c r="E476" i="2"/>
  <c r="A477" i="2"/>
  <c r="B477" i="2"/>
  <c r="C477" i="2"/>
  <c r="D477" i="2"/>
  <c r="E477" i="2"/>
  <c r="A478" i="2"/>
  <c r="B478" i="2"/>
  <c r="C478" i="2"/>
  <c r="D478" i="2"/>
  <c r="E478" i="2"/>
  <c r="A479" i="2"/>
  <c r="B479" i="2"/>
  <c r="C479" i="2"/>
  <c r="D479" i="2"/>
  <c r="E479" i="2"/>
  <c r="A480" i="2"/>
  <c r="B480" i="2"/>
  <c r="C480" i="2"/>
  <c r="D480" i="2"/>
  <c r="E480" i="2"/>
  <c r="A481" i="2"/>
  <c r="B481" i="2"/>
  <c r="C481" i="2"/>
  <c r="D481" i="2"/>
  <c r="E481" i="2"/>
  <c r="A482" i="2"/>
  <c r="B482" i="2"/>
  <c r="C482" i="2"/>
  <c r="D482" i="2"/>
  <c r="E482" i="2"/>
  <c r="A483" i="2"/>
  <c r="B483" i="2"/>
  <c r="C483" i="2"/>
  <c r="D483" i="2"/>
  <c r="E483" i="2"/>
  <c r="A484" i="2"/>
  <c r="B484" i="2"/>
  <c r="C484" i="2"/>
  <c r="D484" i="2"/>
  <c r="E484" i="2"/>
  <c r="A485" i="2"/>
  <c r="B485" i="2"/>
  <c r="C485" i="2"/>
  <c r="D485" i="2"/>
  <c r="E485" i="2"/>
  <c r="A486" i="2"/>
  <c r="B486" i="2"/>
  <c r="C486" i="2"/>
  <c r="D486" i="2"/>
  <c r="E486" i="2"/>
  <c r="A487" i="2"/>
  <c r="B487" i="2"/>
  <c r="C487" i="2"/>
  <c r="D487" i="2"/>
  <c r="E487" i="2"/>
  <c r="A488" i="2"/>
  <c r="B488" i="2"/>
  <c r="C488" i="2"/>
  <c r="D488" i="2"/>
  <c r="E488" i="2"/>
  <c r="A489" i="2"/>
  <c r="B489" i="2"/>
  <c r="C489" i="2"/>
  <c r="D489" i="2"/>
  <c r="E489" i="2"/>
  <c r="A490" i="2"/>
  <c r="B490" i="2"/>
  <c r="C490" i="2"/>
  <c r="D490" i="2"/>
  <c r="E490" i="2"/>
  <c r="A491" i="2"/>
  <c r="B491" i="2"/>
  <c r="C491" i="2"/>
  <c r="D491" i="2"/>
  <c r="E491" i="2"/>
  <c r="A492" i="2"/>
  <c r="B492" i="2"/>
  <c r="C492" i="2"/>
  <c r="D492" i="2"/>
  <c r="E492" i="2"/>
  <c r="A493" i="2"/>
  <c r="B493" i="2"/>
  <c r="C493" i="2"/>
  <c r="D493" i="2"/>
  <c r="E493" i="2"/>
  <c r="A494" i="2"/>
  <c r="B494" i="2"/>
  <c r="C494" i="2"/>
  <c r="D494" i="2"/>
  <c r="E494" i="2"/>
  <c r="I494" i="2"/>
  <c r="A495" i="2"/>
  <c r="B495" i="2"/>
  <c r="C495" i="2"/>
  <c r="D495" i="2"/>
  <c r="E495" i="2"/>
  <c r="A496" i="2"/>
  <c r="B496" i="2"/>
  <c r="C496" i="2"/>
  <c r="D496" i="2"/>
  <c r="E496" i="2"/>
  <c r="A497" i="2"/>
  <c r="B497" i="2"/>
  <c r="C497" i="2"/>
  <c r="D497" i="2"/>
  <c r="E497" i="2"/>
  <c r="A498" i="2"/>
  <c r="B498" i="2"/>
  <c r="C498" i="2"/>
  <c r="D498" i="2"/>
  <c r="E498" i="2"/>
  <c r="A499" i="2"/>
  <c r="B499" i="2"/>
  <c r="C499" i="2"/>
  <c r="D499" i="2"/>
  <c r="E499" i="2"/>
  <c r="A500" i="2"/>
  <c r="B500" i="2"/>
  <c r="C500" i="2"/>
  <c r="D500" i="2"/>
  <c r="E500" i="2"/>
  <c r="A501" i="2"/>
  <c r="B501" i="2"/>
  <c r="C501" i="2"/>
  <c r="D501" i="2"/>
  <c r="E501" i="2"/>
  <c r="A502" i="2"/>
  <c r="B502" i="2"/>
  <c r="C502" i="2"/>
  <c r="D502" i="2"/>
  <c r="E502" i="2"/>
  <c r="A503" i="2"/>
  <c r="B503" i="2"/>
  <c r="C503" i="2"/>
  <c r="D503" i="2"/>
  <c r="E503" i="2"/>
  <c r="A504" i="2"/>
  <c r="B504" i="2"/>
  <c r="C504" i="2"/>
  <c r="D504" i="2"/>
  <c r="E504" i="2"/>
  <c r="A505" i="2"/>
  <c r="B505" i="2"/>
  <c r="C505" i="2"/>
  <c r="D505" i="2"/>
  <c r="E505" i="2"/>
  <c r="A506" i="2"/>
  <c r="B506" i="2"/>
  <c r="C506" i="2"/>
  <c r="D506" i="2"/>
  <c r="E506" i="2"/>
  <c r="A507" i="2"/>
  <c r="B507" i="2"/>
  <c r="C507" i="2"/>
  <c r="D507" i="2"/>
  <c r="E507" i="2"/>
  <c r="A508" i="2"/>
  <c r="B508" i="2"/>
  <c r="C508" i="2"/>
  <c r="D508" i="2"/>
  <c r="E508" i="2"/>
  <c r="A509" i="2"/>
  <c r="B509" i="2"/>
  <c r="C509" i="2"/>
  <c r="D509" i="2"/>
  <c r="E509" i="2"/>
  <c r="A510" i="2"/>
  <c r="B510" i="2"/>
  <c r="C510" i="2"/>
  <c r="D510" i="2"/>
  <c r="E510" i="2"/>
  <c r="A511" i="2"/>
  <c r="B511" i="2"/>
  <c r="C511" i="2"/>
  <c r="D511" i="2"/>
  <c r="E511" i="2"/>
  <c r="A512" i="2"/>
  <c r="B512" i="2"/>
  <c r="C512" i="2"/>
  <c r="D512" i="2"/>
  <c r="E512" i="2"/>
  <c r="A513" i="2"/>
  <c r="B513" i="2"/>
  <c r="C513" i="2"/>
  <c r="D513" i="2"/>
  <c r="E513" i="2"/>
  <c r="A514" i="2"/>
  <c r="B514" i="2"/>
  <c r="C514" i="2"/>
  <c r="D514" i="2"/>
  <c r="E514" i="2"/>
  <c r="A515" i="2"/>
  <c r="B515" i="2"/>
  <c r="C515" i="2"/>
  <c r="D515" i="2"/>
  <c r="E515" i="2"/>
  <c r="A516" i="2"/>
  <c r="B516" i="2"/>
  <c r="C516" i="2"/>
  <c r="D516" i="2"/>
  <c r="E516" i="2"/>
  <c r="I516" i="2"/>
  <c r="A517" i="2"/>
  <c r="B517" i="2"/>
  <c r="C517" i="2"/>
  <c r="D517" i="2"/>
  <c r="E517" i="2"/>
  <c r="A518" i="2"/>
  <c r="B518" i="2"/>
  <c r="C518" i="2"/>
  <c r="D518" i="2"/>
  <c r="E518" i="2"/>
  <c r="A519" i="2"/>
  <c r="B519" i="2"/>
  <c r="C519" i="2"/>
  <c r="D519" i="2"/>
  <c r="E519" i="2"/>
  <c r="A520" i="2"/>
  <c r="B520" i="2"/>
  <c r="C520" i="2"/>
  <c r="D520" i="2"/>
  <c r="E520" i="2"/>
  <c r="A521" i="2"/>
  <c r="B521" i="2"/>
  <c r="C521" i="2"/>
  <c r="D521" i="2"/>
  <c r="E521" i="2"/>
  <c r="A522" i="2"/>
  <c r="B522" i="2"/>
  <c r="C522" i="2"/>
  <c r="D522" i="2"/>
  <c r="E522" i="2"/>
  <c r="A523" i="2"/>
  <c r="B523" i="2"/>
  <c r="C523" i="2"/>
  <c r="D523" i="2"/>
  <c r="E523" i="2"/>
  <c r="A524" i="2"/>
  <c r="B524" i="2"/>
  <c r="C524" i="2"/>
  <c r="D524" i="2"/>
  <c r="E524" i="2"/>
  <c r="A525" i="2"/>
  <c r="B525" i="2"/>
  <c r="C525" i="2"/>
  <c r="D525" i="2"/>
  <c r="E525" i="2"/>
  <c r="A526" i="2"/>
  <c r="B526" i="2"/>
  <c r="C526" i="2"/>
  <c r="D526" i="2"/>
  <c r="E526" i="2"/>
  <c r="A527" i="2"/>
  <c r="B527" i="2"/>
  <c r="C527" i="2"/>
  <c r="D527" i="2"/>
  <c r="E527" i="2"/>
  <c r="A528" i="2"/>
  <c r="B528" i="2"/>
  <c r="C528" i="2"/>
  <c r="D528" i="2"/>
  <c r="E528" i="2"/>
  <c r="A529" i="2"/>
  <c r="B529" i="2"/>
  <c r="C529" i="2"/>
  <c r="D529" i="2"/>
  <c r="E529" i="2"/>
  <c r="A530" i="2"/>
  <c r="B530" i="2"/>
  <c r="C530" i="2"/>
  <c r="D530" i="2"/>
  <c r="E530" i="2"/>
  <c r="A531" i="2"/>
  <c r="B531" i="2"/>
  <c r="C531" i="2"/>
  <c r="D531" i="2"/>
  <c r="E531" i="2"/>
  <c r="A532" i="2"/>
  <c r="B532" i="2"/>
  <c r="C532" i="2"/>
  <c r="D532" i="2"/>
  <c r="E532" i="2"/>
  <c r="A533" i="2"/>
  <c r="B533" i="2"/>
  <c r="C533" i="2"/>
  <c r="D533" i="2"/>
  <c r="E533" i="2"/>
  <c r="I533" i="2"/>
  <c r="A534" i="2"/>
  <c r="B534" i="2"/>
  <c r="C534" i="2"/>
  <c r="D534" i="2"/>
  <c r="E534" i="2"/>
  <c r="A535" i="2"/>
  <c r="B535" i="2"/>
  <c r="C535" i="2"/>
  <c r="D535" i="2"/>
  <c r="E535" i="2"/>
  <c r="A536" i="2"/>
  <c r="B536" i="2"/>
  <c r="C536" i="2"/>
  <c r="D536" i="2"/>
  <c r="E536" i="2"/>
  <c r="A537" i="2"/>
  <c r="B537" i="2"/>
  <c r="C537" i="2"/>
  <c r="D537" i="2"/>
  <c r="E537" i="2"/>
  <c r="A538" i="2"/>
  <c r="B538" i="2"/>
  <c r="C538" i="2"/>
  <c r="D538" i="2"/>
  <c r="E538" i="2"/>
  <c r="A539" i="2"/>
  <c r="B539" i="2"/>
  <c r="C539" i="2"/>
  <c r="D539" i="2"/>
  <c r="E539" i="2"/>
  <c r="A540" i="2"/>
  <c r="B540" i="2"/>
  <c r="C540" i="2"/>
  <c r="D540" i="2"/>
  <c r="E540" i="2"/>
  <c r="A541" i="2"/>
  <c r="B541" i="2"/>
  <c r="C541" i="2"/>
  <c r="D541" i="2"/>
  <c r="E541" i="2"/>
  <c r="A542" i="2"/>
  <c r="B542" i="2"/>
  <c r="C542" i="2"/>
  <c r="D542" i="2"/>
  <c r="E542" i="2"/>
  <c r="A543" i="2"/>
  <c r="B543" i="2"/>
  <c r="C543" i="2"/>
  <c r="D543" i="2"/>
  <c r="E543" i="2"/>
  <c r="I543" i="2"/>
  <c r="A544" i="2"/>
  <c r="B544" i="2"/>
  <c r="C544" i="2"/>
  <c r="D544" i="2"/>
  <c r="E544" i="2"/>
  <c r="A545" i="2"/>
  <c r="B545" i="2"/>
  <c r="C545" i="2"/>
  <c r="D545" i="2"/>
  <c r="E545" i="2"/>
  <c r="A546" i="2"/>
  <c r="B546" i="2"/>
  <c r="C546" i="2"/>
  <c r="D546" i="2"/>
  <c r="E546" i="2"/>
  <c r="A547" i="2"/>
  <c r="B547" i="2"/>
  <c r="C547" i="2"/>
  <c r="D547" i="2"/>
  <c r="E547" i="2"/>
  <c r="A548" i="2"/>
  <c r="B548" i="2"/>
  <c r="C548" i="2"/>
  <c r="D548" i="2"/>
  <c r="E548" i="2"/>
  <c r="A549" i="2"/>
  <c r="B549" i="2"/>
  <c r="C549" i="2"/>
  <c r="D549" i="2"/>
  <c r="E549" i="2"/>
  <c r="A550" i="2"/>
  <c r="B550" i="2"/>
  <c r="C550" i="2"/>
  <c r="D550" i="2"/>
  <c r="E550" i="2"/>
  <c r="A551" i="2"/>
  <c r="B551" i="2"/>
  <c r="C551" i="2"/>
  <c r="D551" i="2"/>
  <c r="E551" i="2"/>
  <c r="A552" i="2"/>
  <c r="B552" i="2"/>
  <c r="C552" i="2"/>
  <c r="D552" i="2"/>
  <c r="E552" i="2"/>
  <c r="A553" i="2"/>
  <c r="B553" i="2"/>
  <c r="C553" i="2"/>
  <c r="D553" i="2"/>
  <c r="E553" i="2"/>
  <c r="A554" i="2"/>
  <c r="B554" i="2"/>
  <c r="C554" i="2"/>
  <c r="D554" i="2"/>
  <c r="E554" i="2"/>
  <c r="I554" i="2"/>
  <c r="A555" i="2"/>
  <c r="B555" i="2"/>
  <c r="C555" i="2"/>
  <c r="D555" i="2"/>
  <c r="E555" i="2"/>
  <c r="A556" i="2"/>
  <c r="B556" i="2"/>
  <c r="C556" i="2"/>
  <c r="D556" i="2"/>
  <c r="E556" i="2"/>
  <c r="A557" i="2"/>
  <c r="B557" i="2"/>
  <c r="C557" i="2"/>
  <c r="D557" i="2"/>
  <c r="E557" i="2"/>
  <c r="A558" i="2"/>
  <c r="B558" i="2"/>
  <c r="C558" i="2"/>
  <c r="D558" i="2"/>
  <c r="E558" i="2"/>
  <c r="A559" i="2"/>
  <c r="B559" i="2"/>
  <c r="C559" i="2"/>
  <c r="D559" i="2"/>
  <c r="E559" i="2"/>
  <c r="A560" i="2"/>
  <c r="B560" i="2"/>
  <c r="C560" i="2"/>
  <c r="D560" i="2"/>
  <c r="E560" i="2"/>
  <c r="A561" i="2"/>
  <c r="B561" i="2"/>
  <c r="C561" i="2"/>
  <c r="D561" i="2"/>
  <c r="E561" i="2"/>
  <c r="A562" i="2"/>
  <c r="B562" i="2"/>
  <c r="C562" i="2"/>
  <c r="D562" i="2"/>
  <c r="E562" i="2"/>
  <c r="A563" i="2"/>
  <c r="B563" i="2"/>
  <c r="C563" i="2"/>
  <c r="D563" i="2"/>
  <c r="E563" i="2"/>
  <c r="A564" i="2"/>
  <c r="B564" i="2"/>
  <c r="C564" i="2"/>
  <c r="D564" i="2"/>
  <c r="E564" i="2"/>
  <c r="A565" i="2"/>
  <c r="B565" i="2"/>
  <c r="C565" i="2"/>
  <c r="D565" i="2"/>
  <c r="E565" i="2"/>
  <c r="I565" i="2"/>
  <c r="A566" i="2"/>
  <c r="B566" i="2"/>
  <c r="C566" i="2"/>
  <c r="D566" i="2"/>
  <c r="E566" i="2"/>
  <c r="A567" i="2"/>
  <c r="B567" i="2"/>
  <c r="C567" i="2"/>
  <c r="D567" i="2"/>
  <c r="E567" i="2"/>
  <c r="A568" i="2"/>
  <c r="B568" i="2"/>
  <c r="C568" i="2"/>
  <c r="D568" i="2"/>
  <c r="E568" i="2"/>
  <c r="A569" i="2"/>
  <c r="B569" i="2"/>
  <c r="C569" i="2"/>
  <c r="D569" i="2"/>
  <c r="E569" i="2"/>
  <c r="A570" i="2"/>
  <c r="B570" i="2"/>
  <c r="C570" i="2"/>
  <c r="D570" i="2"/>
  <c r="E570" i="2"/>
  <c r="A571" i="2"/>
  <c r="B571" i="2"/>
  <c r="C571" i="2"/>
  <c r="D571" i="2"/>
  <c r="E571" i="2"/>
  <c r="A572" i="2"/>
  <c r="B572" i="2"/>
  <c r="C572" i="2"/>
  <c r="D572" i="2"/>
  <c r="E572" i="2"/>
  <c r="A573" i="2"/>
  <c r="B573" i="2"/>
  <c r="C573" i="2"/>
  <c r="D573" i="2"/>
  <c r="E573" i="2"/>
  <c r="A574" i="2"/>
  <c r="B574" i="2"/>
  <c r="C574" i="2"/>
  <c r="D574" i="2"/>
  <c r="E574" i="2"/>
  <c r="A575" i="2"/>
  <c r="B575" i="2"/>
  <c r="C575" i="2"/>
  <c r="D575" i="2"/>
  <c r="E575" i="2"/>
  <c r="I575" i="2"/>
  <c r="A576" i="2"/>
  <c r="B576" i="2"/>
  <c r="C576" i="2"/>
  <c r="D576" i="2"/>
  <c r="E576" i="2"/>
  <c r="A577" i="2"/>
  <c r="B577" i="2"/>
  <c r="C577" i="2"/>
  <c r="D577" i="2"/>
  <c r="E577" i="2"/>
  <c r="A578" i="2"/>
  <c r="B578" i="2"/>
  <c r="C578" i="2"/>
  <c r="D578" i="2"/>
  <c r="E578" i="2"/>
  <c r="A579" i="2"/>
  <c r="B579" i="2"/>
  <c r="C579" i="2"/>
  <c r="D579" i="2"/>
  <c r="E579" i="2"/>
  <c r="A580" i="2"/>
  <c r="B580" i="2"/>
  <c r="C580" i="2"/>
  <c r="D580" i="2"/>
  <c r="E580" i="2"/>
  <c r="A581" i="2"/>
  <c r="B581" i="2"/>
  <c r="C581" i="2"/>
  <c r="D581" i="2"/>
  <c r="E581" i="2"/>
  <c r="A582" i="2"/>
  <c r="B582" i="2"/>
  <c r="C582" i="2"/>
  <c r="D582" i="2"/>
  <c r="E582" i="2"/>
  <c r="A583" i="2"/>
  <c r="B583" i="2"/>
  <c r="C583" i="2"/>
  <c r="D583" i="2"/>
  <c r="E583" i="2"/>
  <c r="A584" i="2"/>
  <c r="B584" i="2"/>
  <c r="C584" i="2"/>
  <c r="D584" i="2"/>
  <c r="E584" i="2"/>
  <c r="A585" i="2"/>
  <c r="B585" i="2"/>
  <c r="C585" i="2"/>
  <c r="D585" i="2"/>
  <c r="E585" i="2"/>
  <c r="A586" i="2"/>
  <c r="B586" i="2"/>
  <c r="C586" i="2"/>
  <c r="D586" i="2"/>
  <c r="E586" i="2"/>
  <c r="I586" i="2"/>
  <c r="A587" i="2"/>
  <c r="B587" i="2"/>
  <c r="C587" i="2"/>
  <c r="D587" i="2"/>
  <c r="E587" i="2"/>
  <c r="A588" i="2"/>
  <c r="B588" i="2"/>
  <c r="C588" i="2"/>
  <c r="D588" i="2"/>
  <c r="E588" i="2"/>
  <c r="A589" i="2"/>
  <c r="B589" i="2"/>
  <c r="C589" i="2"/>
  <c r="D589" i="2"/>
  <c r="E589" i="2"/>
  <c r="A590" i="2"/>
  <c r="B590" i="2"/>
  <c r="C590" i="2"/>
  <c r="D590" i="2"/>
  <c r="E590" i="2"/>
  <c r="A591" i="2"/>
  <c r="B591" i="2"/>
  <c r="C591" i="2"/>
  <c r="D591" i="2"/>
  <c r="E591" i="2"/>
  <c r="A592" i="2"/>
  <c r="B592" i="2"/>
  <c r="C592" i="2"/>
  <c r="D592" i="2"/>
  <c r="E592" i="2"/>
  <c r="A593" i="2"/>
  <c r="B593" i="2"/>
  <c r="C593" i="2"/>
  <c r="D593" i="2"/>
  <c r="E593" i="2"/>
  <c r="A594" i="2"/>
  <c r="B594" i="2"/>
  <c r="C594" i="2"/>
  <c r="D594" i="2"/>
  <c r="E594" i="2"/>
  <c r="A595" i="2"/>
  <c r="B595" i="2"/>
  <c r="C595" i="2"/>
  <c r="D595" i="2"/>
  <c r="E595" i="2"/>
  <c r="A596" i="2"/>
  <c r="B596" i="2"/>
  <c r="C596" i="2"/>
  <c r="D596" i="2"/>
  <c r="E596" i="2"/>
  <c r="A597" i="2"/>
  <c r="B597" i="2"/>
  <c r="C597" i="2"/>
  <c r="D597" i="2"/>
  <c r="E597" i="2"/>
  <c r="I597" i="2"/>
  <c r="A598" i="2"/>
  <c r="B598" i="2"/>
  <c r="C598" i="2"/>
  <c r="D598" i="2"/>
  <c r="E598" i="2"/>
  <c r="A599" i="2"/>
  <c r="B599" i="2"/>
  <c r="C599" i="2"/>
  <c r="D599" i="2"/>
  <c r="E599" i="2"/>
  <c r="A600" i="2"/>
  <c r="B600" i="2"/>
  <c r="C600" i="2"/>
  <c r="D600" i="2"/>
  <c r="E600" i="2"/>
  <c r="A601" i="2"/>
  <c r="B601" i="2"/>
  <c r="C601" i="2"/>
  <c r="D601" i="2"/>
  <c r="E601" i="2"/>
  <c r="A602" i="2"/>
  <c r="B602" i="2"/>
  <c r="C602" i="2"/>
  <c r="D602" i="2"/>
  <c r="E602" i="2"/>
  <c r="A603" i="2"/>
  <c r="B603" i="2"/>
  <c r="C603" i="2"/>
  <c r="D603" i="2"/>
  <c r="E603" i="2"/>
  <c r="A604" i="2"/>
  <c r="B604" i="2"/>
  <c r="C604" i="2"/>
  <c r="D604" i="2"/>
  <c r="E604" i="2"/>
  <c r="A605" i="2"/>
  <c r="B605" i="2"/>
  <c r="C605" i="2"/>
  <c r="D605" i="2"/>
  <c r="E605" i="2"/>
  <c r="A606" i="2"/>
  <c r="B606" i="2"/>
  <c r="C606" i="2"/>
  <c r="D606" i="2"/>
  <c r="E606" i="2"/>
  <c r="A607" i="2"/>
  <c r="B607" i="2"/>
  <c r="C607" i="2"/>
  <c r="D607" i="2"/>
  <c r="E607" i="2"/>
  <c r="A608" i="2"/>
  <c r="B608" i="2"/>
  <c r="C608" i="2"/>
  <c r="D608" i="2"/>
  <c r="E608" i="2"/>
  <c r="A609" i="2"/>
  <c r="B609" i="2"/>
  <c r="C609" i="2"/>
  <c r="D609" i="2"/>
  <c r="E609" i="2"/>
  <c r="A610" i="2"/>
  <c r="B610" i="2"/>
  <c r="C610" i="2"/>
  <c r="D610" i="2"/>
  <c r="E610" i="2"/>
  <c r="A611" i="2"/>
  <c r="B611" i="2"/>
  <c r="C611" i="2"/>
  <c r="D611" i="2"/>
  <c r="E611" i="2"/>
  <c r="A612" i="2"/>
  <c r="B612" i="2"/>
  <c r="C612" i="2"/>
  <c r="D612" i="2"/>
  <c r="E612" i="2"/>
  <c r="A613" i="2"/>
  <c r="B613" i="2"/>
  <c r="C613" i="2"/>
  <c r="D613" i="2"/>
  <c r="E613" i="2"/>
  <c r="A614" i="2"/>
  <c r="B614" i="2"/>
  <c r="C614" i="2"/>
  <c r="D614" i="2"/>
  <c r="E614" i="2"/>
  <c r="A615" i="2"/>
  <c r="B615" i="2"/>
  <c r="C615" i="2"/>
  <c r="D615" i="2"/>
  <c r="E615" i="2"/>
  <c r="A616" i="2"/>
  <c r="B616" i="2"/>
  <c r="C616" i="2"/>
  <c r="D616" i="2"/>
  <c r="E616" i="2"/>
  <c r="A617" i="2"/>
  <c r="B617" i="2"/>
  <c r="C617" i="2"/>
  <c r="D617" i="2"/>
  <c r="E617" i="2"/>
  <c r="A618" i="2"/>
  <c r="B618" i="2"/>
  <c r="C618" i="2"/>
  <c r="D618" i="2"/>
  <c r="E618" i="2"/>
  <c r="I618" i="2"/>
  <c r="A619" i="2"/>
  <c r="B619" i="2"/>
  <c r="C619" i="2"/>
  <c r="D619" i="2"/>
  <c r="E619" i="2"/>
  <c r="A620" i="2"/>
  <c r="B620" i="2"/>
  <c r="C620" i="2"/>
  <c r="D620" i="2"/>
  <c r="E620" i="2"/>
  <c r="A621" i="2"/>
  <c r="B621" i="2"/>
  <c r="C621" i="2"/>
  <c r="D621" i="2"/>
  <c r="E621" i="2"/>
  <c r="A622" i="2"/>
  <c r="B622" i="2"/>
  <c r="C622" i="2"/>
  <c r="D622" i="2"/>
  <c r="E622" i="2"/>
  <c r="A623" i="2"/>
  <c r="B623" i="2"/>
  <c r="C623" i="2"/>
  <c r="D623" i="2"/>
  <c r="E623" i="2"/>
  <c r="A624" i="2"/>
  <c r="B624" i="2"/>
  <c r="C624" i="2"/>
  <c r="D624" i="2"/>
  <c r="E624" i="2"/>
  <c r="A625" i="2"/>
  <c r="B625" i="2"/>
  <c r="C625" i="2"/>
  <c r="D625" i="2"/>
  <c r="E625" i="2"/>
  <c r="A626" i="2"/>
  <c r="B626" i="2"/>
  <c r="C626" i="2"/>
  <c r="D626" i="2"/>
  <c r="E626" i="2"/>
  <c r="A627" i="2"/>
  <c r="B627" i="2"/>
  <c r="C627" i="2"/>
  <c r="D627" i="2"/>
  <c r="E627" i="2"/>
  <c r="A628" i="2"/>
  <c r="B628" i="2"/>
  <c r="C628" i="2"/>
  <c r="D628" i="2"/>
  <c r="E628" i="2"/>
  <c r="A629" i="2"/>
  <c r="B629" i="2"/>
  <c r="C629" i="2"/>
  <c r="D629" i="2"/>
  <c r="E629" i="2"/>
  <c r="I629" i="2"/>
  <c r="A630" i="2"/>
  <c r="B630" i="2"/>
  <c r="C630" i="2"/>
  <c r="D630" i="2"/>
  <c r="E630" i="2"/>
  <c r="A631" i="2"/>
  <c r="B631" i="2"/>
  <c r="C631" i="2"/>
  <c r="D631" i="2"/>
  <c r="E631" i="2"/>
  <c r="A632" i="2"/>
  <c r="B632" i="2"/>
  <c r="C632" i="2"/>
  <c r="D632" i="2"/>
  <c r="E632" i="2"/>
  <c r="A633" i="2"/>
  <c r="B633" i="2"/>
  <c r="C633" i="2"/>
  <c r="D633" i="2"/>
  <c r="E633" i="2"/>
  <c r="A634" i="2"/>
  <c r="B634" i="2"/>
  <c r="C634" i="2"/>
  <c r="D634" i="2"/>
  <c r="E634" i="2"/>
  <c r="A635" i="2"/>
  <c r="B635" i="2"/>
  <c r="C635" i="2"/>
  <c r="D635" i="2"/>
  <c r="E635" i="2"/>
  <c r="A636" i="2"/>
  <c r="B636" i="2"/>
  <c r="C636" i="2"/>
  <c r="D636" i="2"/>
  <c r="E636" i="2"/>
  <c r="A637" i="2"/>
  <c r="B637" i="2"/>
  <c r="C637" i="2"/>
  <c r="D637" i="2"/>
  <c r="E637" i="2"/>
  <c r="A638" i="2"/>
  <c r="B638" i="2"/>
  <c r="C638" i="2"/>
  <c r="D638" i="2"/>
  <c r="E638" i="2"/>
  <c r="A639" i="2"/>
  <c r="B639" i="2"/>
  <c r="C639" i="2"/>
  <c r="D639" i="2"/>
  <c r="E639" i="2"/>
  <c r="I639" i="2"/>
  <c r="A640" i="2"/>
  <c r="B640" i="2"/>
  <c r="C640" i="2"/>
  <c r="D640" i="2"/>
  <c r="E640" i="2"/>
  <c r="A641" i="2"/>
  <c r="B641" i="2"/>
  <c r="C641" i="2"/>
  <c r="D641" i="2"/>
  <c r="E641" i="2"/>
  <c r="A642" i="2"/>
  <c r="B642" i="2"/>
  <c r="C642" i="2"/>
  <c r="D642" i="2"/>
  <c r="E642" i="2"/>
  <c r="A643" i="2"/>
  <c r="B643" i="2"/>
  <c r="C643" i="2"/>
  <c r="D643" i="2"/>
  <c r="E643" i="2"/>
  <c r="A644" i="2"/>
  <c r="B644" i="2"/>
  <c r="C644" i="2"/>
  <c r="D644" i="2"/>
  <c r="E644" i="2"/>
  <c r="A645" i="2"/>
  <c r="B645" i="2"/>
  <c r="C645" i="2"/>
  <c r="D645" i="2"/>
  <c r="E645" i="2"/>
  <c r="A646" i="2"/>
  <c r="B646" i="2"/>
  <c r="C646" i="2"/>
  <c r="D646" i="2"/>
  <c r="E646" i="2"/>
  <c r="A647" i="2"/>
  <c r="B647" i="2"/>
  <c r="C647" i="2"/>
  <c r="D647" i="2"/>
  <c r="E647" i="2"/>
  <c r="A648" i="2"/>
  <c r="B648" i="2"/>
  <c r="C648" i="2"/>
  <c r="D648" i="2"/>
  <c r="E648" i="2"/>
  <c r="A649" i="2"/>
  <c r="B649" i="2"/>
  <c r="C649" i="2"/>
  <c r="D649" i="2"/>
  <c r="E649" i="2"/>
  <c r="A650" i="2"/>
  <c r="B650" i="2"/>
  <c r="C650" i="2"/>
  <c r="D650" i="2"/>
  <c r="E650" i="2"/>
  <c r="I650" i="2"/>
  <c r="A651" i="2"/>
  <c r="B651" i="2"/>
  <c r="C651" i="2"/>
  <c r="D651" i="2"/>
  <c r="E651" i="2"/>
  <c r="A652" i="2"/>
  <c r="B652" i="2"/>
  <c r="C652" i="2"/>
  <c r="D652" i="2"/>
  <c r="E652" i="2"/>
  <c r="A653" i="2"/>
  <c r="B653" i="2"/>
  <c r="C653" i="2"/>
  <c r="D653" i="2"/>
  <c r="E653" i="2"/>
  <c r="A654" i="2"/>
  <c r="B654" i="2"/>
  <c r="C654" i="2"/>
  <c r="D654" i="2"/>
  <c r="E654" i="2"/>
  <c r="A655" i="2"/>
  <c r="B655" i="2"/>
  <c r="C655" i="2"/>
  <c r="D655" i="2"/>
  <c r="E655" i="2"/>
  <c r="A656" i="2"/>
  <c r="B656" i="2"/>
  <c r="C656" i="2"/>
  <c r="D656" i="2"/>
  <c r="E656" i="2"/>
  <c r="A657" i="2"/>
  <c r="B657" i="2"/>
  <c r="C657" i="2"/>
  <c r="D657" i="2"/>
  <c r="E657" i="2"/>
  <c r="A658" i="2"/>
  <c r="B658" i="2"/>
  <c r="C658" i="2"/>
  <c r="D658" i="2"/>
  <c r="E658" i="2"/>
  <c r="A659" i="2"/>
  <c r="B659" i="2"/>
  <c r="C659" i="2"/>
  <c r="D659" i="2"/>
  <c r="E659" i="2"/>
  <c r="A660" i="2"/>
  <c r="B660" i="2"/>
  <c r="C660" i="2"/>
  <c r="D660" i="2"/>
  <c r="E660" i="2"/>
  <c r="A661" i="2"/>
  <c r="B661" i="2"/>
  <c r="C661" i="2"/>
  <c r="D661" i="2"/>
  <c r="E661" i="2"/>
  <c r="I661" i="2"/>
  <c r="A662" i="2"/>
  <c r="B662" i="2"/>
  <c r="C662" i="2"/>
  <c r="D662" i="2"/>
  <c r="E662" i="2"/>
  <c r="A663" i="2"/>
  <c r="B663" i="2"/>
  <c r="C663" i="2"/>
  <c r="D663" i="2"/>
  <c r="E663" i="2"/>
  <c r="A664" i="2"/>
  <c r="B664" i="2"/>
  <c r="C664" i="2"/>
  <c r="D664" i="2"/>
  <c r="E664" i="2"/>
  <c r="A665" i="2"/>
  <c r="B665" i="2"/>
  <c r="C665" i="2"/>
  <c r="D665" i="2"/>
  <c r="E665" i="2"/>
  <c r="A666" i="2"/>
  <c r="B666" i="2"/>
  <c r="C666" i="2"/>
  <c r="D666" i="2"/>
  <c r="E666" i="2"/>
  <c r="A667" i="2"/>
  <c r="B667" i="2"/>
  <c r="C667" i="2"/>
  <c r="D667" i="2"/>
  <c r="E667" i="2"/>
  <c r="A668" i="2"/>
  <c r="B668" i="2"/>
  <c r="C668" i="2"/>
  <c r="D668" i="2"/>
  <c r="E668" i="2"/>
  <c r="A669" i="2"/>
  <c r="B669" i="2"/>
  <c r="C669" i="2"/>
  <c r="D669" i="2"/>
  <c r="E669" i="2"/>
  <c r="A670" i="2"/>
  <c r="B670" i="2"/>
  <c r="C670" i="2"/>
  <c r="D670" i="2"/>
  <c r="E670" i="2"/>
  <c r="A671" i="2"/>
  <c r="B671" i="2"/>
  <c r="C671" i="2"/>
  <c r="D671" i="2"/>
  <c r="E671" i="2"/>
  <c r="I671" i="2"/>
  <c r="A672" i="2"/>
  <c r="B672" i="2"/>
  <c r="C672" i="2"/>
  <c r="D672" i="2"/>
  <c r="E672" i="2"/>
  <c r="A673" i="2"/>
  <c r="B673" i="2"/>
  <c r="C673" i="2"/>
  <c r="D673" i="2"/>
  <c r="E673" i="2"/>
  <c r="A674" i="2"/>
  <c r="B674" i="2"/>
  <c r="C674" i="2"/>
  <c r="D674" i="2"/>
  <c r="E674" i="2"/>
  <c r="A675" i="2"/>
  <c r="B675" i="2"/>
  <c r="C675" i="2"/>
  <c r="D675" i="2"/>
  <c r="E675" i="2"/>
  <c r="A676" i="2"/>
  <c r="B676" i="2"/>
  <c r="C676" i="2"/>
  <c r="D676" i="2"/>
  <c r="E676" i="2"/>
  <c r="A677" i="2"/>
  <c r="B677" i="2"/>
  <c r="C677" i="2"/>
  <c r="D677" i="2"/>
  <c r="E677" i="2"/>
  <c r="I677" i="2"/>
  <c r="A678" i="2"/>
  <c r="B678" i="2"/>
  <c r="C678" i="2"/>
  <c r="D678" i="2"/>
  <c r="E678" i="2"/>
  <c r="A679" i="2"/>
  <c r="B679" i="2"/>
  <c r="C679" i="2"/>
  <c r="D679" i="2"/>
  <c r="E679" i="2"/>
  <c r="A680" i="2"/>
  <c r="B680" i="2"/>
  <c r="C680" i="2"/>
  <c r="D680" i="2"/>
  <c r="E680" i="2"/>
  <c r="A681" i="2"/>
  <c r="B681" i="2"/>
  <c r="C681" i="2"/>
  <c r="D681" i="2"/>
  <c r="E681" i="2"/>
  <c r="A682" i="2"/>
  <c r="B682" i="2"/>
  <c r="C682" i="2"/>
  <c r="D682" i="2"/>
  <c r="E682" i="2"/>
  <c r="A683" i="2"/>
  <c r="B683" i="2"/>
  <c r="C683" i="2"/>
  <c r="D683" i="2"/>
  <c r="E683" i="2"/>
  <c r="A684" i="2"/>
  <c r="B684" i="2"/>
  <c r="C684" i="2"/>
  <c r="D684" i="2"/>
  <c r="E684" i="2"/>
  <c r="A685" i="2"/>
  <c r="B685" i="2"/>
  <c r="C685" i="2"/>
  <c r="D685" i="2"/>
  <c r="E685" i="2"/>
  <c r="I685" i="2"/>
  <c r="A686" i="2"/>
  <c r="B686" i="2"/>
  <c r="C686" i="2"/>
  <c r="D686" i="2"/>
  <c r="E686" i="2"/>
  <c r="A687" i="2"/>
  <c r="B687" i="2"/>
  <c r="C687" i="2"/>
  <c r="D687" i="2"/>
  <c r="E687" i="2"/>
  <c r="A688" i="2"/>
  <c r="B688" i="2"/>
  <c r="C688" i="2"/>
  <c r="D688" i="2"/>
  <c r="E688" i="2"/>
  <c r="A689" i="2"/>
  <c r="B689" i="2"/>
  <c r="C689" i="2"/>
  <c r="D689" i="2"/>
  <c r="E689" i="2"/>
  <c r="A690" i="2"/>
  <c r="B690" i="2"/>
  <c r="C690" i="2"/>
  <c r="D690" i="2"/>
  <c r="E690" i="2"/>
  <c r="A691" i="2"/>
  <c r="B691" i="2"/>
  <c r="C691" i="2"/>
  <c r="D691" i="2"/>
  <c r="E691" i="2"/>
  <c r="A692" i="2"/>
  <c r="B692" i="2"/>
  <c r="C692" i="2"/>
  <c r="D692" i="2"/>
  <c r="E692" i="2"/>
  <c r="I692" i="2"/>
  <c r="A693" i="2"/>
  <c r="B693" i="2"/>
  <c r="C693" i="2"/>
  <c r="D693" i="2"/>
  <c r="E693" i="2"/>
  <c r="A694" i="2"/>
  <c r="B694" i="2"/>
  <c r="C694" i="2"/>
  <c r="D694" i="2"/>
  <c r="E694" i="2"/>
  <c r="A695" i="2"/>
  <c r="B695" i="2"/>
  <c r="C695" i="2"/>
  <c r="D695" i="2"/>
  <c r="E695" i="2"/>
  <c r="A696" i="2"/>
  <c r="B696" i="2"/>
  <c r="C696" i="2"/>
  <c r="D696" i="2"/>
  <c r="E696" i="2"/>
  <c r="A697" i="2"/>
  <c r="B697" i="2"/>
  <c r="C697" i="2"/>
  <c r="D697" i="2"/>
  <c r="E697" i="2"/>
  <c r="A698" i="2"/>
  <c r="B698" i="2"/>
  <c r="C698" i="2"/>
  <c r="D698" i="2"/>
  <c r="E698" i="2"/>
  <c r="A699" i="2"/>
  <c r="B699" i="2"/>
  <c r="C699" i="2"/>
  <c r="D699" i="2"/>
  <c r="E699" i="2"/>
  <c r="A700" i="2"/>
  <c r="B700" i="2"/>
  <c r="C700" i="2"/>
  <c r="D700" i="2"/>
  <c r="I700" i="2"/>
  <c r="A701" i="2"/>
  <c r="B701" i="2"/>
  <c r="C701" i="2"/>
  <c r="D701" i="2"/>
  <c r="E701" i="2"/>
  <c r="A702" i="2"/>
  <c r="B702" i="2"/>
  <c r="C702" i="2"/>
  <c r="D702" i="2"/>
  <c r="E702" i="2"/>
  <c r="A703" i="2"/>
  <c r="B703" i="2"/>
  <c r="C703" i="2"/>
  <c r="D703" i="2"/>
  <c r="A704" i="2"/>
  <c r="B704" i="2"/>
  <c r="C704" i="2"/>
  <c r="D704" i="2"/>
  <c r="A705" i="2"/>
  <c r="B705" i="2"/>
  <c r="C705" i="2"/>
  <c r="D705" i="2"/>
  <c r="E705" i="2"/>
  <c r="A706" i="2"/>
  <c r="B706" i="2"/>
  <c r="C706" i="2"/>
  <c r="D706" i="2"/>
  <c r="E706" i="2"/>
  <c r="A707" i="2"/>
  <c r="B707" i="2"/>
  <c r="C707" i="2"/>
  <c r="D707" i="2"/>
  <c r="E707" i="2"/>
  <c r="A708" i="2"/>
  <c r="B708" i="2"/>
  <c r="C708" i="2"/>
  <c r="D708" i="2"/>
  <c r="E708" i="2"/>
  <c r="I708" i="2"/>
  <c r="A709" i="2"/>
  <c r="B709" i="2"/>
  <c r="C709" i="2"/>
  <c r="D709" i="2"/>
  <c r="E709" i="2"/>
  <c r="A710" i="2"/>
  <c r="B710" i="2"/>
  <c r="C710" i="2"/>
  <c r="D710" i="2"/>
  <c r="A711" i="2"/>
  <c r="B711" i="2"/>
  <c r="C711" i="2"/>
  <c r="D711" i="2"/>
  <c r="E711" i="2"/>
  <c r="A712" i="2"/>
  <c r="B712" i="2"/>
  <c r="C712" i="2"/>
  <c r="D712" i="2"/>
  <c r="E712" i="2"/>
  <c r="A713" i="2"/>
  <c r="B713" i="2"/>
  <c r="C713" i="2"/>
  <c r="D713" i="2"/>
  <c r="E713" i="2"/>
  <c r="A714" i="2"/>
  <c r="B714" i="2"/>
  <c r="C714" i="2"/>
  <c r="D714" i="2"/>
  <c r="E714" i="2"/>
  <c r="A715" i="2"/>
  <c r="B715" i="2"/>
  <c r="C715" i="2"/>
  <c r="D715" i="2"/>
  <c r="E715" i="2"/>
  <c r="A716" i="2"/>
  <c r="B716" i="2"/>
  <c r="C716" i="2"/>
  <c r="D716" i="2"/>
  <c r="E716" i="2"/>
  <c r="I716" i="2"/>
  <c r="A717" i="2"/>
  <c r="B717" i="2"/>
  <c r="C717" i="2"/>
  <c r="D717" i="2"/>
  <c r="E717" i="2"/>
  <c r="A718" i="2"/>
  <c r="B718" i="2"/>
  <c r="C718" i="2"/>
  <c r="D718" i="2"/>
  <c r="E718" i="2"/>
  <c r="A719" i="2"/>
  <c r="B719" i="2"/>
  <c r="C719" i="2"/>
  <c r="D719" i="2"/>
  <c r="E719" i="2"/>
  <c r="A720" i="2"/>
  <c r="B720" i="2"/>
  <c r="C720" i="2"/>
  <c r="D720" i="2"/>
  <c r="E720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I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E2" i="2"/>
  <c r="D2" i="2"/>
  <c r="C2" i="2"/>
  <c r="A2" i="2"/>
  <c r="M742" i="2" l="1"/>
  <c r="M756" i="2"/>
  <c r="I607" i="2"/>
  <c r="M607" i="2"/>
  <c r="M494" i="2"/>
  <c r="M260" i="2"/>
  <c r="M196" i="2"/>
  <c r="M750" i="2"/>
  <c r="M516" i="2"/>
  <c r="M215" i="2"/>
  <c r="M734" i="2"/>
  <c r="M407" i="2"/>
  <c r="M174" i="2"/>
  <c r="M727" i="2"/>
  <c r="M388" i="2"/>
  <c r="M151" i="2"/>
  <c r="M726" i="2"/>
  <c r="M343" i="2"/>
  <c r="M132" i="2"/>
  <c r="M724" i="2"/>
  <c r="M324" i="2"/>
  <c r="M87" i="2"/>
  <c r="M764" i="2"/>
  <c r="M279" i="2"/>
  <c r="M68" i="2"/>
  <c r="I30" i="2"/>
  <c r="M30" i="2"/>
  <c r="I22" i="2"/>
  <c r="M22" i="2"/>
  <c r="I681" i="2"/>
  <c r="M681" i="2"/>
  <c r="I673" i="2"/>
  <c r="M673" i="2"/>
  <c r="I669" i="2"/>
  <c r="M669" i="2"/>
  <c r="I657" i="2"/>
  <c r="M657" i="2"/>
  <c r="I645" i="2"/>
  <c r="M645" i="2"/>
  <c r="I613" i="2"/>
  <c r="M613" i="2"/>
  <c r="I609" i="2"/>
  <c r="M609" i="2"/>
  <c r="I605" i="2"/>
  <c r="M605" i="2"/>
  <c r="I589" i="2"/>
  <c r="M589" i="2"/>
  <c r="I585" i="2"/>
  <c r="M585" i="2"/>
  <c r="I581" i="2"/>
  <c r="M581" i="2"/>
  <c r="I577" i="2"/>
  <c r="M577" i="2"/>
  <c r="I573" i="2"/>
  <c r="M573" i="2"/>
  <c r="I561" i="2"/>
  <c r="M561" i="2"/>
  <c r="I521" i="2"/>
  <c r="M521" i="2"/>
  <c r="I509" i="2"/>
  <c r="M509" i="2"/>
  <c r="I505" i="2"/>
  <c r="M505" i="2"/>
  <c r="I477" i="2"/>
  <c r="M477" i="2"/>
  <c r="I473" i="2"/>
  <c r="M473" i="2"/>
  <c r="I469" i="2"/>
  <c r="M469" i="2"/>
  <c r="I465" i="2"/>
  <c r="M465" i="2"/>
  <c r="I461" i="2"/>
  <c r="M461" i="2"/>
  <c r="I437" i="2"/>
  <c r="M437" i="2"/>
  <c r="I429" i="2"/>
  <c r="M429" i="2"/>
  <c r="I425" i="2"/>
  <c r="M425" i="2"/>
  <c r="I421" i="2"/>
  <c r="M421" i="2"/>
  <c r="I409" i="2"/>
  <c r="M409" i="2"/>
  <c r="I405" i="2"/>
  <c r="M405" i="2"/>
  <c r="I393" i="2"/>
  <c r="M393" i="2"/>
  <c r="I369" i="2"/>
  <c r="M369" i="2"/>
  <c r="I7" i="2"/>
  <c r="M7" i="2"/>
  <c r="I709" i="2"/>
  <c r="M709" i="2"/>
  <c r="I701" i="2"/>
  <c r="M701" i="2"/>
  <c r="I658" i="2"/>
  <c r="M658" i="2"/>
  <c r="I646" i="2"/>
  <c r="M646" i="2"/>
  <c r="I638" i="2"/>
  <c r="M638" i="2"/>
  <c r="I630" i="2"/>
  <c r="M630" i="2"/>
  <c r="I626" i="2"/>
  <c r="M626" i="2"/>
  <c r="I566" i="2"/>
  <c r="M566" i="2"/>
  <c r="I558" i="2"/>
  <c r="M558" i="2"/>
  <c r="I550" i="2"/>
  <c r="M550" i="2"/>
  <c r="I542" i="2"/>
  <c r="M542" i="2"/>
  <c r="I530" i="2"/>
  <c r="M530" i="2"/>
  <c r="I518" i="2"/>
  <c r="M518" i="2"/>
  <c r="I506" i="2"/>
  <c r="M506" i="2"/>
  <c r="I486" i="2"/>
  <c r="M486" i="2"/>
  <c r="I482" i="2"/>
  <c r="M482" i="2"/>
  <c r="I474" i="2"/>
  <c r="M474" i="2"/>
  <c r="I470" i="2"/>
  <c r="M470" i="2"/>
  <c r="I462" i="2"/>
  <c r="M462" i="2"/>
  <c r="I458" i="2"/>
  <c r="M458" i="2"/>
  <c r="I450" i="2"/>
  <c r="M450" i="2"/>
  <c r="I446" i="2"/>
  <c r="M446" i="2"/>
  <c r="I442" i="2"/>
  <c r="M442" i="2"/>
  <c r="I438" i="2"/>
  <c r="M438" i="2"/>
  <c r="I434" i="2"/>
  <c r="M434" i="2"/>
  <c r="I426" i="2"/>
  <c r="M426" i="2"/>
  <c r="I422" i="2"/>
  <c r="M422" i="2"/>
  <c r="I418" i="2"/>
  <c r="M418" i="2"/>
  <c r="I414" i="2"/>
  <c r="M414" i="2"/>
  <c r="I398" i="2"/>
  <c r="M398" i="2"/>
  <c r="I386" i="2"/>
  <c r="M386" i="2"/>
  <c r="I378" i="2"/>
  <c r="M378" i="2"/>
  <c r="I374" i="2"/>
  <c r="M374" i="2"/>
  <c r="I370" i="2"/>
  <c r="M370" i="2"/>
  <c r="I358" i="2"/>
  <c r="M358" i="2"/>
  <c r="I350" i="2"/>
  <c r="M350" i="2"/>
  <c r="I346" i="2"/>
  <c r="M346" i="2"/>
  <c r="I342" i="2"/>
  <c r="M342" i="2"/>
  <c r="I338" i="2"/>
  <c r="M338" i="2"/>
  <c r="I334" i="2"/>
  <c r="M334" i="2"/>
  <c r="I330" i="2"/>
  <c r="M330" i="2"/>
  <c r="I326" i="2"/>
  <c r="M326" i="2"/>
  <c r="I318" i="2"/>
  <c r="M318" i="2"/>
  <c r="I314" i="2"/>
  <c r="M314" i="2"/>
  <c r="I310" i="2"/>
  <c r="M310" i="2"/>
  <c r="I306" i="2"/>
  <c r="M306" i="2"/>
  <c r="I298" i="2"/>
  <c r="M298" i="2"/>
  <c r="I294" i="2"/>
  <c r="M294" i="2"/>
  <c r="I290" i="2"/>
  <c r="M290" i="2"/>
  <c r="I286" i="2"/>
  <c r="M286" i="2"/>
  <c r="I282" i="2"/>
  <c r="M282" i="2"/>
  <c r="I278" i="2"/>
  <c r="M278" i="2"/>
  <c r="I274" i="2"/>
  <c r="M274" i="2"/>
  <c r="I270" i="2"/>
  <c r="M270" i="2"/>
  <c r="I266" i="2"/>
  <c r="M266" i="2"/>
  <c r="I262" i="2"/>
  <c r="M262" i="2"/>
  <c r="I258" i="2"/>
  <c r="M258" i="2"/>
  <c r="I254" i="2"/>
  <c r="M254" i="2"/>
  <c r="I250" i="2"/>
  <c r="M250" i="2"/>
  <c r="I246" i="2"/>
  <c r="M246" i="2"/>
  <c r="I242" i="2"/>
  <c r="M242" i="2"/>
  <c r="I234" i="2"/>
  <c r="M234" i="2"/>
  <c r="I230" i="2"/>
  <c r="M230" i="2"/>
  <c r="I226" i="2"/>
  <c r="M226" i="2"/>
  <c r="I222" i="2"/>
  <c r="M222" i="2"/>
  <c r="I218" i="2"/>
  <c r="M218" i="2"/>
  <c r="I210" i="2"/>
  <c r="M210" i="2"/>
  <c r="I206" i="2"/>
  <c r="M206" i="2"/>
  <c r="I202" i="2"/>
  <c r="M202" i="2"/>
  <c r="I198" i="2"/>
  <c r="M198" i="2"/>
  <c r="I194" i="2"/>
  <c r="M194" i="2"/>
  <c r="I190" i="2"/>
  <c r="M190" i="2"/>
  <c r="I186" i="2"/>
  <c r="M186" i="2"/>
  <c r="I182" i="2"/>
  <c r="M182" i="2"/>
  <c r="I178" i="2"/>
  <c r="M178" i="2"/>
  <c r="I170" i="2"/>
  <c r="M170" i="2"/>
  <c r="I166" i="2"/>
  <c r="M166" i="2"/>
  <c r="I162" i="2"/>
  <c r="M162" i="2"/>
  <c r="I158" i="2"/>
  <c r="M158" i="2"/>
  <c r="I154" i="2"/>
  <c r="M154" i="2"/>
  <c r="I150" i="2"/>
  <c r="M150" i="2"/>
  <c r="I146" i="2"/>
  <c r="M146" i="2"/>
  <c r="I142" i="2"/>
  <c r="M142" i="2"/>
  <c r="I138" i="2"/>
  <c r="M138" i="2"/>
  <c r="I134" i="2"/>
  <c r="M134" i="2"/>
  <c r="I130" i="2"/>
  <c r="M130" i="2"/>
  <c r="I126" i="2"/>
  <c r="M126" i="2"/>
  <c r="I122" i="2"/>
  <c r="M122" i="2"/>
  <c r="I118" i="2"/>
  <c r="M118" i="2"/>
  <c r="I114" i="2"/>
  <c r="M114" i="2"/>
  <c r="I106" i="2"/>
  <c r="M106" i="2"/>
  <c r="I102" i="2"/>
  <c r="M102" i="2"/>
  <c r="I98" i="2"/>
  <c r="M98" i="2"/>
  <c r="I94" i="2"/>
  <c r="M94" i="2"/>
  <c r="I90" i="2"/>
  <c r="M90" i="2"/>
  <c r="I86" i="2"/>
  <c r="M86" i="2"/>
  <c r="I82" i="2"/>
  <c r="M82" i="2"/>
  <c r="I78" i="2"/>
  <c r="M78" i="2"/>
  <c r="I74" i="2"/>
  <c r="M74" i="2"/>
  <c r="I70" i="2"/>
  <c r="M70" i="2"/>
  <c r="I66" i="2"/>
  <c r="M66" i="2"/>
  <c r="I62" i="2"/>
  <c r="M62" i="2"/>
  <c r="I58" i="2"/>
  <c r="M58" i="2"/>
  <c r="I54" i="2"/>
  <c r="M54" i="2"/>
  <c r="I50" i="2"/>
  <c r="M50" i="2"/>
  <c r="I42" i="2"/>
  <c r="M42" i="2"/>
  <c r="I38" i="2"/>
  <c r="M38" i="2"/>
  <c r="I34" i="2"/>
  <c r="M34" i="2"/>
  <c r="I721" i="2"/>
  <c r="M721" i="2"/>
  <c r="I808" i="2"/>
  <c r="M808" i="2"/>
  <c r="I800" i="2"/>
  <c r="M800" i="2"/>
  <c r="I792" i="2"/>
  <c r="M792" i="2"/>
  <c r="I784" i="2"/>
  <c r="M784" i="2"/>
  <c r="I776" i="2"/>
  <c r="M776" i="2"/>
  <c r="I768" i="2"/>
  <c r="M768" i="2"/>
  <c r="I760" i="2"/>
  <c r="M760" i="2"/>
  <c r="I752" i="2"/>
  <c r="M752" i="2"/>
  <c r="I744" i="2"/>
  <c r="M744" i="2"/>
  <c r="I736" i="2"/>
  <c r="M736" i="2"/>
  <c r="M804" i="2"/>
  <c r="M748" i="2"/>
  <c r="M716" i="2"/>
  <c r="M671" i="2"/>
  <c r="M586" i="2"/>
  <c r="M471" i="2"/>
  <c r="M302" i="2"/>
  <c r="I10" i="2"/>
  <c r="M10" i="2"/>
  <c r="I689" i="2"/>
  <c r="M689" i="2"/>
  <c r="I625" i="2"/>
  <c r="M625" i="2"/>
  <c r="I617" i="2"/>
  <c r="M617" i="2"/>
  <c r="I601" i="2"/>
  <c r="M601" i="2"/>
  <c r="I593" i="2"/>
  <c r="M593" i="2"/>
  <c r="I377" i="2"/>
  <c r="M377" i="2"/>
  <c r="I11" i="2"/>
  <c r="M11" i="2"/>
  <c r="I697" i="2"/>
  <c r="M697" i="2"/>
  <c r="I674" i="2"/>
  <c r="M674" i="2"/>
  <c r="I670" i="2"/>
  <c r="M670" i="2"/>
  <c r="I614" i="2"/>
  <c r="M614" i="2"/>
  <c r="I610" i="2"/>
  <c r="M610" i="2"/>
  <c r="I590" i="2"/>
  <c r="M590" i="2"/>
  <c r="I582" i="2"/>
  <c r="M582" i="2"/>
  <c r="I578" i="2"/>
  <c r="M578" i="2"/>
  <c r="I570" i="2"/>
  <c r="M570" i="2"/>
  <c r="I562" i="2"/>
  <c r="M562" i="2"/>
  <c r="I546" i="2"/>
  <c r="M546" i="2"/>
  <c r="I538" i="2"/>
  <c r="M538" i="2"/>
  <c r="I534" i="2"/>
  <c r="M534" i="2"/>
  <c r="I526" i="2"/>
  <c r="M526" i="2"/>
  <c r="I522" i="2"/>
  <c r="M522" i="2"/>
  <c r="I514" i="2"/>
  <c r="M514" i="2"/>
  <c r="I510" i="2"/>
  <c r="M510" i="2"/>
  <c r="I502" i="2"/>
  <c r="M502" i="2"/>
  <c r="I498" i="2"/>
  <c r="M498" i="2"/>
  <c r="I490" i="2"/>
  <c r="M490" i="2"/>
  <c r="I466" i="2"/>
  <c r="M466" i="2"/>
  <c r="I454" i="2"/>
  <c r="M454" i="2"/>
  <c r="I410" i="2"/>
  <c r="M410" i="2"/>
  <c r="I406" i="2"/>
  <c r="M406" i="2"/>
  <c r="I402" i="2"/>
  <c r="M402" i="2"/>
  <c r="I394" i="2"/>
  <c r="M394" i="2"/>
  <c r="I390" i="2"/>
  <c r="M390" i="2"/>
  <c r="I382" i="2"/>
  <c r="M382" i="2"/>
  <c r="I362" i="2"/>
  <c r="M362" i="2"/>
  <c r="I354" i="2"/>
  <c r="M354" i="2"/>
  <c r="I322" i="2"/>
  <c r="M322" i="2"/>
  <c r="I214" i="2"/>
  <c r="M214" i="2"/>
  <c r="M796" i="2"/>
  <c r="M708" i="2"/>
  <c r="M661" i="2"/>
  <c r="M575" i="2"/>
  <c r="M452" i="2"/>
  <c r="M110" i="2"/>
  <c r="I712" i="2"/>
  <c r="M712" i="2"/>
  <c r="I665" i="2"/>
  <c r="M665" i="2"/>
  <c r="I649" i="2"/>
  <c r="M649" i="2"/>
  <c r="I633" i="2"/>
  <c r="M633" i="2"/>
  <c r="I549" i="2"/>
  <c r="M549" i="2"/>
  <c r="I501" i="2"/>
  <c r="M501" i="2"/>
  <c r="I493" i="2"/>
  <c r="M493" i="2"/>
  <c r="I27" i="2"/>
  <c r="M27" i="2"/>
  <c r="I3" i="2"/>
  <c r="M3" i="2"/>
  <c r="I713" i="2"/>
  <c r="M713" i="2"/>
  <c r="I705" i="2"/>
  <c r="M705" i="2"/>
  <c r="I666" i="2"/>
  <c r="M666" i="2"/>
  <c r="I654" i="2"/>
  <c r="M654" i="2"/>
  <c r="I478" i="2"/>
  <c r="M478" i="2"/>
  <c r="I28" i="2"/>
  <c r="M28" i="2"/>
  <c r="I8" i="2"/>
  <c r="M8" i="2"/>
  <c r="I714" i="2"/>
  <c r="M714" i="2"/>
  <c r="I694" i="2"/>
  <c r="M694" i="2"/>
  <c r="I683" i="2"/>
  <c r="M683" i="2"/>
  <c r="I675" i="2"/>
  <c r="M675" i="2"/>
  <c r="I667" i="2"/>
  <c r="M667" i="2"/>
  <c r="I663" i="2"/>
  <c r="M663" i="2"/>
  <c r="I659" i="2"/>
  <c r="M659" i="2"/>
  <c r="I655" i="2"/>
  <c r="M655" i="2"/>
  <c r="I651" i="2"/>
  <c r="M651" i="2"/>
  <c r="I647" i="2"/>
  <c r="M647" i="2"/>
  <c r="I643" i="2"/>
  <c r="M643" i="2"/>
  <c r="I635" i="2"/>
  <c r="M635" i="2"/>
  <c r="I631" i="2"/>
  <c r="M631" i="2"/>
  <c r="I627" i="2"/>
  <c r="M627" i="2"/>
  <c r="I623" i="2"/>
  <c r="M623" i="2"/>
  <c r="I619" i="2"/>
  <c r="M619" i="2"/>
  <c r="I615" i="2"/>
  <c r="M615" i="2"/>
  <c r="I611" i="2"/>
  <c r="M611" i="2"/>
  <c r="I603" i="2"/>
  <c r="M603" i="2"/>
  <c r="I599" i="2"/>
  <c r="M599" i="2"/>
  <c r="I595" i="2"/>
  <c r="M595" i="2"/>
  <c r="I591" i="2"/>
  <c r="M591" i="2"/>
  <c r="I587" i="2"/>
  <c r="M587" i="2"/>
  <c r="I583" i="2"/>
  <c r="M583" i="2"/>
  <c r="I579" i="2"/>
  <c r="M579" i="2"/>
  <c r="I571" i="2"/>
  <c r="M571" i="2"/>
  <c r="I567" i="2"/>
  <c r="M567" i="2"/>
  <c r="I563" i="2"/>
  <c r="M563" i="2"/>
  <c r="I559" i="2"/>
  <c r="M559" i="2"/>
  <c r="I555" i="2"/>
  <c r="M555" i="2"/>
  <c r="I551" i="2"/>
  <c r="M551" i="2"/>
  <c r="I547" i="2"/>
  <c r="M547" i="2"/>
  <c r="I539" i="2"/>
  <c r="M539" i="2"/>
  <c r="I535" i="2"/>
  <c r="M535" i="2"/>
  <c r="I531" i="2"/>
  <c r="M531" i="2"/>
  <c r="I527" i="2"/>
  <c r="M527" i="2"/>
  <c r="I523" i="2"/>
  <c r="M523" i="2"/>
  <c r="I519" i="2"/>
  <c r="M519" i="2"/>
  <c r="I515" i="2"/>
  <c r="M515" i="2"/>
  <c r="I511" i="2"/>
  <c r="M511" i="2"/>
  <c r="I507" i="2"/>
  <c r="M507" i="2"/>
  <c r="I503" i="2"/>
  <c r="M503" i="2"/>
  <c r="I499" i="2"/>
  <c r="M499" i="2"/>
  <c r="I495" i="2"/>
  <c r="M495" i="2"/>
  <c r="I491" i="2"/>
  <c r="M491" i="2"/>
  <c r="I487" i="2"/>
  <c r="M487" i="2"/>
  <c r="I483" i="2"/>
  <c r="M483" i="2"/>
  <c r="I479" i="2"/>
  <c r="M479" i="2"/>
  <c r="I475" i="2"/>
  <c r="M475" i="2"/>
  <c r="I467" i="2"/>
  <c r="M467" i="2"/>
  <c r="I463" i="2"/>
  <c r="M463" i="2"/>
  <c r="I459" i="2"/>
  <c r="M459" i="2"/>
  <c r="I455" i="2"/>
  <c r="M455" i="2"/>
  <c r="I451" i="2"/>
  <c r="M451" i="2"/>
  <c r="I447" i="2"/>
  <c r="M447" i="2"/>
  <c r="I443" i="2"/>
  <c r="M443" i="2"/>
  <c r="I439" i="2"/>
  <c r="M439" i="2"/>
  <c r="I435" i="2"/>
  <c r="M435" i="2"/>
  <c r="I431" i="2"/>
  <c r="M431" i="2"/>
  <c r="I427" i="2"/>
  <c r="M427" i="2"/>
  <c r="I423" i="2"/>
  <c r="M423" i="2"/>
  <c r="I419" i="2"/>
  <c r="M419" i="2"/>
  <c r="M788" i="2"/>
  <c r="M740" i="2"/>
  <c r="M700" i="2"/>
  <c r="M650" i="2"/>
  <c r="M565" i="2"/>
  <c r="M430" i="2"/>
  <c r="I26" i="2"/>
  <c r="M26" i="2"/>
  <c r="I14" i="2"/>
  <c r="M14" i="2"/>
  <c r="I6" i="2"/>
  <c r="M6" i="2"/>
  <c r="I696" i="2"/>
  <c r="M696" i="2"/>
  <c r="I621" i="2"/>
  <c r="M621" i="2"/>
  <c r="I569" i="2"/>
  <c r="M569" i="2"/>
  <c r="I557" i="2"/>
  <c r="M557" i="2"/>
  <c r="I513" i="2"/>
  <c r="M513" i="2"/>
  <c r="I417" i="2"/>
  <c r="M417" i="2"/>
  <c r="I413" i="2"/>
  <c r="M413" i="2"/>
  <c r="I401" i="2"/>
  <c r="M401" i="2"/>
  <c r="I397" i="2"/>
  <c r="M397" i="2"/>
  <c r="I389" i="2"/>
  <c r="M389" i="2"/>
  <c r="I385" i="2"/>
  <c r="M385" i="2"/>
  <c r="I373" i="2"/>
  <c r="M373" i="2"/>
  <c r="I19" i="2"/>
  <c r="M19" i="2"/>
  <c r="I717" i="2"/>
  <c r="M717" i="2"/>
  <c r="I682" i="2"/>
  <c r="M682" i="2"/>
  <c r="I662" i="2"/>
  <c r="M662" i="2"/>
  <c r="I642" i="2"/>
  <c r="M642" i="2"/>
  <c r="I606" i="2"/>
  <c r="M606" i="2"/>
  <c r="I602" i="2"/>
  <c r="M602" i="2"/>
  <c r="I32" i="2"/>
  <c r="M32" i="2"/>
  <c r="I24" i="2"/>
  <c r="M24" i="2"/>
  <c r="I20" i="2"/>
  <c r="M20" i="2"/>
  <c r="I16" i="2"/>
  <c r="M16" i="2"/>
  <c r="I12" i="2"/>
  <c r="M12" i="2"/>
  <c r="I4" i="2"/>
  <c r="M4" i="2"/>
  <c r="I718" i="2"/>
  <c r="M718" i="2"/>
  <c r="I710" i="2"/>
  <c r="I706" i="2"/>
  <c r="I702" i="2"/>
  <c r="M702" i="2"/>
  <c r="I698" i="2"/>
  <c r="M698" i="2"/>
  <c r="I690" i="2"/>
  <c r="M690" i="2"/>
  <c r="I687" i="2"/>
  <c r="M687" i="2"/>
  <c r="I679" i="2"/>
  <c r="M679" i="2"/>
  <c r="M2" i="2"/>
  <c r="M780" i="2"/>
  <c r="M692" i="2"/>
  <c r="M639" i="2"/>
  <c r="M554" i="2"/>
  <c r="M238" i="2"/>
  <c r="I18" i="2"/>
  <c r="M18" i="2"/>
  <c r="I653" i="2"/>
  <c r="M653" i="2"/>
  <c r="I641" i="2"/>
  <c r="M641" i="2"/>
  <c r="I637" i="2"/>
  <c r="M637" i="2"/>
  <c r="I553" i="2"/>
  <c r="M553" i="2"/>
  <c r="I545" i="2"/>
  <c r="M545" i="2"/>
  <c r="I541" i="2"/>
  <c r="M541" i="2"/>
  <c r="I537" i="2"/>
  <c r="M537" i="2"/>
  <c r="I525" i="2"/>
  <c r="M525" i="2"/>
  <c r="I489" i="2"/>
  <c r="M489" i="2"/>
  <c r="I445" i="2"/>
  <c r="M445" i="2"/>
  <c r="I441" i="2"/>
  <c r="M441" i="2"/>
  <c r="I381" i="2"/>
  <c r="M381" i="2"/>
  <c r="M597" i="2"/>
  <c r="I15" i="2"/>
  <c r="M15" i="2"/>
  <c r="I693" i="2"/>
  <c r="M693" i="2"/>
  <c r="I634" i="2"/>
  <c r="M634" i="2"/>
  <c r="I33" i="2"/>
  <c r="M33" i="2"/>
  <c r="I711" i="2"/>
  <c r="M711" i="2"/>
  <c r="I703" i="2"/>
  <c r="M703" i="2"/>
  <c r="I695" i="2"/>
  <c r="M695" i="2"/>
  <c r="I684" i="2"/>
  <c r="M684" i="2"/>
  <c r="I680" i="2"/>
  <c r="M680" i="2"/>
  <c r="I672" i="2"/>
  <c r="M672" i="2"/>
  <c r="I668" i="2"/>
  <c r="M668" i="2"/>
  <c r="I664" i="2"/>
  <c r="M664" i="2"/>
  <c r="I660" i="2"/>
  <c r="M660" i="2"/>
  <c r="I656" i="2"/>
  <c r="M656" i="2"/>
  <c r="I652" i="2"/>
  <c r="M652" i="2"/>
  <c r="I648" i="2"/>
  <c r="M648" i="2"/>
  <c r="I644" i="2"/>
  <c r="M644" i="2"/>
  <c r="I640" i="2"/>
  <c r="M640" i="2"/>
  <c r="I636" i="2"/>
  <c r="M636" i="2"/>
  <c r="I632" i="2"/>
  <c r="M632" i="2"/>
  <c r="I628" i="2"/>
  <c r="M628" i="2"/>
  <c r="I624" i="2"/>
  <c r="M624" i="2"/>
  <c r="I620" i="2"/>
  <c r="M620" i="2"/>
  <c r="I616" i="2"/>
  <c r="M616" i="2"/>
  <c r="I612" i="2"/>
  <c r="M612" i="2"/>
  <c r="I608" i="2"/>
  <c r="M608" i="2"/>
  <c r="I604" i="2"/>
  <c r="M604" i="2"/>
  <c r="I600" i="2"/>
  <c r="M600" i="2"/>
  <c r="I596" i="2"/>
  <c r="M596" i="2"/>
  <c r="I592" i="2"/>
  <c r="M592" i="2"/>
  <c r="I588" i="2"/>
  <c r="M588" i="2"/>
  <c r="I584" i="2"/>
  <c r="M584" i="2"/>
  <c r="I580" i="2"/>
  <c r="M580" i="2"/>
  <c r="I576" i="2"/>
  <c r="M576" i="2"/>
  <c r="I572" i="2"/>
  <c r="M572" i="2"/>
  <c r="I568" i="2"/>
  <c r="M568" i="2"/>
  <c r="I564" i="2"/>
  <c r="M564" i="2"/>
  <c r="I560" i="2"/>
  <c r="M560" i="2"/>
  <c r="I556" i="2"/>
  <c r="M556" i="2"/>
  <c r="I552" i="2"/>
  <c r="M552" i="2"/>
  <c r="I548" i="2"/>
  <c r="M548" i="2"/>
  <c r="I544" i="2"/>
  <c r="M544" i="2"/>
  <c r="I540" i="2"/>
  <c r="M540" i="2"/>
  <c r="I536" i="2"/>
  <c r="M536" i="2"/>
  <c r="I532" i="2"/>
  <c r="M532" i="2"/>
  <c r="I528" i="2"/>
  <c r="M528" i="2"/>
  <c r="I524" i="2"/>
  <c r="M524" i="2"/>
  <c r="I520" i="2"/>
  <c r="M520" i="2"/>
  <c r="I512" i="2"/>
  <c r="M512" i="2"/>
  <c r="I508" i="2"/>
  <c r="M508" i="2"/>
  <c r="I504" i="2"/>
  <c r="M504" i="2"/>
  <c r="I500" i="2"/>
  <c r="M500" i="2"/>
  <c r="I496" i="2"/>
  <c r="M496" i="2"/>
  <c r="I492" i="2"/>
  <c r="M492" i="2"/>
  <c r="I488" i="2"/>
  <c r="M488" i="2"/>
  <c r="I484" i="2"/>
  <c r="M484" i="2"/>
  <c r="I480" i="2"/>
  <c r="M480" i="2"/>
  <c r="I476" i="2"/>
  <c r="M476" i="2"/>
  <c r="I472" i="2"/>
  <c r="M472" i="2"/>
  <c r="I468" i="2"/>
  <c r="M468" i="2"/>
  <c r="I464" i="2"/>
  <c r="M464" i="2"/>
  <c r="I460" i="2"/>
  <c r="M460" i="2"/>
  <c r="I456" i="2"/>
  <c r="M456" i="2"/>
  <c r="I448" i="2"/>
  <c r="M448" i="2"/>
  <c r="I444" i="2"/>
  <c r="M444" i="2"/>
  <c r="I440" i="2"/>
  <c r="M440" i="2"/>
  <c r="I436" i="2"/>
  <c r="M436" i="2"/>
  <c r="I432" i="2"/>
  <c r="M432" i="2"/>
  <c r="I428" i="2"/>
  <c r="M428" i="2"/>
  <c r="I424" i="2"/>
  <c r="M424" i="2"/>
  <c r="I420" i="2"/>
  <c r="M420" i="2"/>
  <c r="M772" i="2"/>
  <c r="M732" i="2"/>
  <c r="M685" i="2"/>
  <c r="M629" i="2"/>
  <c r="M543" i="2"/>
  <c r="M46" i="2"/>
  <c r="I720" i="2"/>
  <c r="M720" i="2"/>
  <c r="I704" i="2"/>
  <c r="M704" i="2"/>
  <c r="I529" i="2"/>
  <c r="M529" i="2"/>
  <c r="I517" i="2"/>
  <c r="M517" i="2"/>
  <c r="I497" i="2"/>
  <c r="M497" i="2"/>
  <c r="I485" i="2"/>
  <c r="M485" i="2"/>
  <c r="I481" i="2"/>
  <c r="M481" i="2"/>
  <c r="I457" i="2"/>
  <c r="M457" i="2"/>
  <c r="I453" i="2"/>
  <c r="M453" i="2"/>
  <c r="I449" i="2"/>
  <c r="M449" i="2"/>
  <c r="I433" i="2"/>
  <c r="M433" i="2"/>
  <c r="I31" i="2"/>
  <c r="M31" i="2"/>
  <c r="I686" i="2"/>
  <c r="M686" i="2"/>
  <c r="I678" i="2"/>
  <c r="M678" i="2"/>
  <c r="I622" i="2"/>
  <c r="M622" i="2"/>
  <c r="I598" i="2"/>
  <c r="M598" i="2"/>
  <c r="I594" i="2"/>
  <c r="M594" i="2"/>
  <c r="I574" i="2"/>
  <c r="M574" i="2"/>
  <c r="I29" i="2"/>
  <c r="M29" i="2"/>
  <c r="I25" i="2"/>
  <c r="M25" i="2"/>
  <c r="I21" i="2"/>
  <c r="M21" i="2"/>
  <c r="I17" i="2"/>
  <c r="M17" i="2"/>
  <c r="I13" i="2"/>
  <c r="M13" i="2"/>
  <c r="I9" i="2"/>
  <c r="M9" i="2"/>
  <c r="I5" i="2"/>
  <c r="M5" i="2"/>
  <c r="I719" i="2"/>
  <c r="M719" i="2"/>
  <c r="I715" i="2"/>
  <c r="M715" i="2"/>
  <c r="I707" i="2"/>
  <c r="M707" i="2"/>
  <c r="I699" i="2"/>
  <c r="M699" i="2"/>
  <c r="I691" i="2"/>
  <c r="M691" i="2"/>
  <c r="I688" i="2"/>
  <c r="M688" i="2"/>
  <c r="I676" i="2"/>
  <c r="M676" i="2"/>
  <c r="M677" i="2"/>
  <c r="M618" i="2"/>
  <c r="M533" i="2"/>
  <c r="M366" i="2"/>
  <c r="M23" i="2"/>
  <c r="M806" i="2"/>
  <c r="M798" i="2"/>
  <c r="M790" i="2"/>
  <c r="M782" i="2"/>
  <c r="M774" i="2"/>
  <c r="M766" i="2"/>
  <c r="M758" i="2"/>
  <c r="M391" i="2"/>
  <c r="M372" i="2"/>
  <c r="M327" i="2"/>
  <c r="M308" i="2"/>
  <c r="M263" i="2"/>
  <c r="M244" i="2"/>
  <c r="M199" i="2"/>
  <c r="M180" i="2"/>
  <c r="M135" i="2"/>
  <c r="M116" i="2"/>
  <c r="M71" i="2"/>
  <c r="M52" i="2"/>
  <c r="I365" i="2"/>
  <c r="M365" i="2"/>
  <c r="I361" i="2"/>
  <c r="M361" i="2"/>
  <c r="I357" i="2"/>
  <c r="M357" i="2"/>
  <c r="I353" i="2"/>
  <c r="M353" i="2"/>
  <c r="I349" i="2"/>
  <c r="M349" i="2"/>
  <c r="I345" i="2"/>
  <c r="M345" i="2"/>
  <c r="I341" i="2"/>
  <c r="M341" i="2"/>
  <c r="I337" i="2"/>
  <c r="M337" i="2"/>
  <c r="I333" i="2"/>
  <c r="M333" i="2"/>
  <c r="I329" i="2"/>
  <c r="M329" i="2"/>
  <c r="I325" i="2"/>
  <c r="M325" i="2"/>
  <c r="I321" i="2"/>
  <c r="M321" i="2"/>
  <c r="I317" i="2"/>
  <c r="M317" i="2"/>
  <c r="I313" i="2"/>
  <c r="M313" i="2"/>
  <c r="I309" i="2"/>
  <c r="M309" i="2"/>
  <c r="I305" i="2"/>
  <c r="M305" i="2"/>
  <c r="I301" i="2"/>
  <c r="M301" i="2"/>
  <c r="I297" i="2"/>
  <c r="M297" i="2"/>
  <c r="I293" i="2"/>
  <c r="M293" i="2"/>
  <c r="I289" i="2"/>
  <c r="M289" i="2"/>
  <c r="I285" i="2"/>
  <c r="M285" i="2"/>
  <c r="I281" i="2"/>
  <c r="M281" i="2"/>
  <c r="I277" i="2"/>
  <c r="M277" i="2"/>
  <c r="I273" i="2"/>
  <c r="M273" i="2"/>
  <c r="I269" i="2"/>
  <c r="M269" i="2"/>
  <c r="I265" i="2"/>
  <c r="M265" i="2"/>
  <c r="I261" i="2"/>
  <c r="M261" i="2"/>
  <c r="I257" i="2"/>
  <c r="M257" i="2"/>
  <c r="I253" i="2"/>
  <c r="M253" i="2"/>
  <c r="I249" i="2"/>
  <c r="M249" i="2"/>
  <c r="I245" i="2"/>
  <c r="M245" i="2"/>
  <c r="I241" i="2"/>
  <c r="M241" i="2"/>
  <c r="I237" i="2"/>
  <c r="M237" i="2"/>
  <c r="I233" i="2"/>
  <c r="M233" i="2"/>
  <c r="I229" i="2"/>
  <c r="M229" i="2"/>
  <c r="I225" i="2"/>
  <c r="M225" i="2"/>
  <c r="I221" i="2"/>
  <c r="M221" i="2"/>
  <c r="I217" i="2"/>
  <c r="M217" i="2"/>
  <c r="I213" i="2"/>
  <c r="M213" i="2"/>
  <c r="I209" i="2"/>
  <c r="M209" i="2"/>
  <c r="I205" i="2"/>
  <c r="M205" i="2"/>
  <c r="I201" i="2"/>
  <c r="M201" i="2"/>
  <c r="I197" i="2"/>
  <c r="M197" i="2"/>
  <c r="I193" i="2"/>
  <c r="M193" i="2"/>
  <c r="I189" i="2"/>
  <c r="M189" i="2"/>
  <c r="I185" i="2"/>
  <c r="M185" i="2"/>
  <c r="I181" i="2"/>
  <c r="M181" i="2"/>
  <c r="I177" i="2"/>
  <c r="M177" i="2"/>
  <c r="I173" i="2"/>
  <c r="M173" i="2"/>
  <c r="I169" i="2"/>
  <c r="M169" i="2"/>
  <c r="I165" i="2"/>
  <c r="M165" i="2"/>
  <c r="I161" i="2"/>
  <c r="M161" i="2"/>
  <c r="I157" i="2"/>
  <c r="M157" i="2"/>
  <c r="I153" i="2"/>
  <c r="M153" i="2"/>
  <c r="I149" i="2"/>
  <c r="M149" i="2"/>
  <c r="I145" i="2"/>
  <c r="M145" i="2"/>
  <c r="I141" i="2"/>
  <c r="M141" i="2"/>
  <c r="I137" i="2"/>
  <c r="M137" i="2"/>
  <c r="I133" i="2"/>
  <c r="M133" i="2"/>
  <c r="I129" i="2"/>
  <c r="M129" i="2"/>
  <c r="I125" i="2"/>
  <c r="M125" i="2"/>
  <c r="I121" i="2"/>
  <c r="M121" i="2"/>
  <c r="I117" i="2"/>
  <c r="M117" i="2"/>
  <c r="I113" i="2"/>
  <c r="M113" i="2"/>
  <c r="I109" i="2"/>
  <c r="M109" i="2"/>
  <c r="I105" i="2"/>
  <c r="M105" i="2"/>
  <c r="I101" i="2"/>
  <c r="M101" i="2"/>
  <c r="I97" i="2"/>
  <c r="M97" i="2"/>
  <c r="I93" i="2"/>
  <c r="M93" i="2"/>
  <c r="I89" i="2"/>
  <c r="M89" i="2"/>
  <c r="I85" i="2"/>
  <c r="M85" i="2"/>
  <c r="I81" i="2"/>
  <c r="M81" i="2"/>
  <c r="I77" i="2"/>
  <c r="M77" i="2"/>
  <c r="I73" i="2"/>
  <c r="M73" i="2"/>
  <c r="I69" i="2"/>
  <c r="M69" i="2"/>
  <c r="I65" i="2"/>
  <c r="M65" i="2"/>
  <c r="I61" i="2"/>
  <c r="M61" i="2"/>
  <c r="I57" i="2"/>
  <c r="M57" i="2"/>
  <c r="I53" i="2"/>
  <c r="M53" i="2"/>
  <c r="I49" i="2"/>
  <c r="M49" i="2"/>
  <c r="I45" i="2"/>
  <c r="M45" i="2"/>
  <c r="I41" i="2"/>
  <c r="M41" i="2"/>
  <c r="I37" i="2"/>
  <c r="M37" i="2"/>
  <c r="M805" i="2"/>
  <c r="M797" i="2"/>
  <c r="M789" i="2"/>
  <c r="M781" i="2"/>
  <c r="M773" i="2"/>
  <c r="M765" i="2"/>
  <c r="M757" i="2"/>
  <c r="M749" i="2"/>
  <c r="M741" i="2"/>
  <c r="M733" i="2"/>
  <c r="M725" i="2"/>
  <c r="M412" i="2"/>
  <c r="M367" i="2"/>
  <c r="M348" i="2"/>
  <c r="M303" i="2"/>
  <c r="M284" i="2"/>
  <c r="M239" i="2"/>
  <c r="M220" i="2"/>
  <c r="M175" i="2"/>
  <c r="M156" i="2"/>
  <c r="M111" i="2"/>
  <c r="M92" i="2"/>
  <c r="M47" i="2"/>
  <c r="M811" i="2"/>
  <c r="M803" i="2"/>
  <c r="M795" i="2"/>
  <c r="M787" i="2"/>
  <c r="M779" i="2"/>
  <c r="M771" i="2"/>
  <c r="M763" i="2"/>
  <c r="M755" i="2"/>
  <c r="M747" i="2"/>
  <c r="M739" i="2"/>
  <c r="M731" i="2"/>
  <c r="M723" i="2"/>
  <c r="M383" i="2"/>
  <c r="M364" i="2"/>
  <c r="M319" i="2"/>
  <c r="M300" i="2"/>
  <c r="M255" i="2"/>
  <c r="M236" i="2"/>
  <c r="M191" i="2"/>
  <c r="M172" i="2"/>
  <c r="M127" i="2"/>
  <c r="M108" i="2"/>
  <c r="M63" i="2"/>
  <c r="M44" i="2"/>
  <c r="M810" i="2"/>
  <c r="M802" i="2"/>
  <c r="M794" i="2"/>
  <c r="M786" i="2"/>
  <c r="M778" i="2"/>
  <c r="M770" i="2"/>
  <c r="M762" i="2"/>
  <c r="M754" i="2"/>
  <c r="M746" i="2"/>
  <c r="M738" i="2"/>
  <c r="M730" i="2"/>
  <c r="M722" i="2"/>
  <c r="M404" i="2"/>
  <c r="M359" i="2"/>
  <c r="M340" i="2"/>
  <c r="M295" i="2"/>
  <c r="M276" i="2"/>
  <c r="M231" i="2"/>
  <c r="M212" i="2"/>
  <c r="M167" i="2"/>
  <c r="M148" i="2"/>
  <c r="M103" i="2"/>
  <c r="M84" i="2"/>
  <c r="M39" i="2"/>
  <c r="I411" i="2"/>
  <c r="M411" i="2"/>
  <c r="I403" i="2"/>
  <c r="M403" i="2"/>
  <c r="I395" i="2"/>
  <c r="M395" i="2"/>
  <c r="I387" i="2"/>
  <c r="M387" i="2"/>
  <c r="I379" i="2"/>
  <c r="M379" i="2"/>
  <c r="I371" i="2"/>
  <c r="M371" i="2"/>
  <c r="I363" i="2"/>
  <c r="M363" i="2"/>
  <c r="I355" i="2"/>
  <c r="M355" i="2"/>
  <c r="I347" i="2"/>
  <c r="M347" i="2"/>
  <c r="I339" i="2"/>
  <c r="M339" i="2"/>
  <c r="I331" i="2"/>
  <c r="M331" i="2"/>
  <c r="I323" i="2"/>
  <c r="M323" i="2"/>
  <c r="I315" i="2"/>
  <c r="M315" i="2"/>
  <c r="I307" i="2"/>
  <c r="M307" i="2"/>
  <c r="I299" i="2"/>
  <c r="M299" i="2"/>
  <c r="I291" i="2"/>
  <c r="M291" i="2"/>
  <c r="I283" i="2"/>
  <c r="M283" i="2"/>
  <c r="I275" i="2"/>
  <c r="M275" i="2"/>
  <c r="I267" i="2"/>
  <c r="M267" i="2"/>
  <c r="I259" i="2"/>
  <c r="M259" i="2"/>
  <c r="I251" i="2"/>
  <c r="M251" i="2"/>
  <c r="I243" i="2"/>
  <c r="M243" i="2"/>
  <c r="I235" i="2"/>
  <c r="M235" i="2"/>
  <c r="I227" i="2"/>
  <c r="M227" i="2"/>
  <c r="I219" i="2"/>
  <c r="M219" i="2"/>
  <c r="I211" i="2"/>
  <c r="M211" i="2"/>
  <c r="I203" i="2"/>
  <c r="M203" i="2"/>
  <c r="I195" i="2"/>
  <c r="M195" i="2"/>
  <c r="I187" i="2"/>
  <c r="M187" i="2"/>
  <c r="I179" i="2"/>
  <c r="M179" i="2"/>
  <c r="I171" i="2"/>
  <c r="M171" i="2"/>
  <c r="I163" i="2"/>
  <c r="M163" i="2"/>
  <c r="I155" i="2"/>
  <c r="M155" i="2"/>
  <c r="I147" i="2"/>
  <c r="M147" i="2"/>
  <c r="I139" i="2"/>
  <c r="M139" i="2"/>
  <c r="I131" i="2"/>
  <c r="M131" i="2"/>
  <c r="I123" i="2"/>
  <c r="M123" i="2"/>
  <c r="I115" i="2"/>
  <c r="M115" i="2"/>
  <c r="I107" i="2"/>
  <c r="M107" i="2"/>
  <c r="I99" i="2"/>
  <c r="M99" i="2"/>
  <c r="I91" i="2"/>
  <c r="M91" i="2"/>
  <c r="I83" i="2"/>
  <c r="M83" i="2"/>
  <c r="I75" i="2"/>
  <c r="M75" i="2"/>
  <c r="I67" i="2"/>
  <c r="M67" i="2"/>
  <c r="I59" i="2"/>
  <c r="M59" i="2"/>
  <c r="I51" i="2"/>
  <c r="M51" i="2"/>
  <c r="I43" i="2"/>
  <c r="M43" i="2"/>
  <c r="I35" i="2"/>
  <c r="M35" i="2"/>
  <c r="M809" i="2"/>
  <c r="M801" i="2"/>
  <c r="M793" i="2"/>
  <c r="M785" i="2"/>
  <c r="M777" i="2"/>
  <c r="M769" i="2"/>
  <c r="M761" i="2"/>
  <c r="M753" i="2"/>
  <c r="M745" i="2"/>
  <c r="M737" i="2"/>
  <c r="M729" i="2"/>
  <c r="M399" i="2"/>
  <c r="M380" i="2"/>
  <c r="M335" i="2"/>
  <c r="M316" i="2"/>
  <c r="M271" i="2"/>
  <c r="M252" i="2"/>
  <c r="M207" i="2"/>
  <c r="M188" i="2"/>
  <c r="M143" i="2"/>
  <c r="M124" i="2"/>
  <c r="M79" i="2"/>
  <c r="M60" i="2"/>
  <c r="M728" i="2"/>
  <c r="M375" i="2"/>
  <c r="M356" i="2"/>
  <c r="M311" i="2"/>
  <c r="M292" i="2"/>
  <c r="M247" i="2"/>
  <c r="M228" i="2"/>
  <c r="M183" i="2"/>
  <c r="M164" i="2"/>
  <c r="M119" i="2"/>
  <c r="M100" i="2"/>
  <c r="M55" i="2"/>
  <c r="M36" i="2"/>
  <c r="I416" i="2"/>
  <c r="M416" i="2"/>
  <c r="I408" i="2"/>
  <c r="M408" i="2"/>
  <c r="I400" i="2"/>
  <c r="M400" i="2"/>
  <c r="I392" i="2"/>
  <c r="M392" i="2"/>
  <c r="I384" i="2"/>
  <c r="M384" i="2"/>
  <c r="I376" i="2"/>
  <c r="M376" i="2"/>
  <c r="I368" i="2"/>
  <c r="M368" i="2"/>
  <c r="I360" i="2"/>
  <c r="M360" i="2"/>
  <c r="I352" i="2"/>
  <c r="M352" i="2"/>
  <c r="I344" i="2"/>
  <c r="M344" i="2"/>
  <c r="I336" i="2"/>
  <c r="M336" i="2"/>
  <c r="I328" i="2"/>
  <c r="M328" i="2"/>
  <c r="I320" i="2"/>
  <c r="M320" i="2"/>
  <c r="I312" i="2"/>
  <c r="M312" i="2"/>
  <c r="I304" i="2"/>
  <c r="M304" i="2"/>
  <c r="I296" i="2"/>
  <c r="M296" i="2"/>
  <c r="I288" i="2"/>
  <c r="M288" i="2"/>
  <c r="I280" i="2"/>
  <c r="M280" i="2"/>
  <c r="I272" i="2"/>
  <c r="M272" i="2"/>
  <c r="I264" i="2"/>
  <c r="M264" i="2"/>
  <c r="I256" i="2"/>
  <c r="M256" i="2"/>
  <c r="I248" i="2"/>
  <c r="M248" i="2"/>
  <c r="I240" i="2"/>
  <c r="M240" i="2"/>
  <c r="I232" i="2"/>
  <c r="M232" i="2"/>
  <c r="I224" i="2"/>
  <c r="M224" i="2"/>
  <c r="I216" i="2"/>
  <c r="M216" i="2"/>
  <c r="I208" i="2"/>
  <c r="I200" i="2"/>
  <c r="M200" i="2"/>
  <c r="I192" i="2"/>
  <c r="M192" i="2"/>
  <c r="I184" i="2"/>
  <c r="M184" i="2"/>
  <c r="I176" i="2"/>
  <c r="M176" i="2"/>
  <c r="I168" i="2"/>
  <c r="M168" i="2"/>
  <c r="I160" i="2"/>
  <c r="M160" i="2"/>
  <c r="I152" i="2"/>
  <c r="M152" i="2"/>
  <c r="I144" i="2"/>
  <c r="M144" i="2"/>
  <c r="I136" i="2"/>
  <c r="M136" i="2"/>
  <c r="I128" i="2"/>
  <c r="M128" i="2"/>
  <c r="I120" i="2"/>
  <c r="M120" i="2"/>
  <c r="I112" i="2"/>
  <c r="M112" i="2"/>
  <c r="I104" i="2"/>
  <c r="M104" i="2"/>
  <c r="I96" i="2"/>
  <c r="M96" i="2"/>
  <c r="I88" i="2"/>
  <c r="M88" i="2"/>
  <c r="I80" i="2"/>
  <c r="M80" i="2"/>
  <c r="I72" i="2"/>
  <c r="M72" i="2"/>
  <c r="I64" i="2"/>
  <c r="M64" i="2"/>
  <c r="I56" i="2"/>
  <c r="M56" i="2"/>
  <c r="I48" i="2"/>
  <c r="M48" i="2"/>
  <c r="I40" i="2"/>
  <c r="M40" i="2"/>
  <c r="M807" i="2"/>
  <c r="M799" i="2"/>
  <c r="M791" i="2"/>
  <c r="M783" i="2"/>
  <c r="M775" i="2"/>
  <c r="M767" i="2"/>
  <c r="M759" i="2"/>
  <c r="M751" i="2"/>
  <c r="M743" i="2"/>
  <c r="M735" i="2"/>
  <c r="M415" i="2"/>
  <c r="M396" i="2"/>
  <c r="M351" i="2"/>
  <c r="M332" i="2"/>
  <c r="M287" i="2"/>
  <c r="M268" i="2"/>
  <c r="M223" i="2"/>
  <c r="M204" i="2"/>
  <c r="M159" i="2"/>
  <c r="M140" i="2"/>
  <c r="M95" i="2"/>
  <c r="M76" i="2"/>
  <c r="L751" i="2" l="1"/>
  <c r="L72" i="2"/>
  <c r="L200" i="2"/>
  <c r="L328" i="2"/>
  <c r="L392" i="2"/>
  <c r="L143" i="2"/>
  <c r="L785" i="2"/>
  <c r="L115" i="2"/>
  <c r="L211" i="2"/>
  <c r="L275" i="2"/>
  <c r="L371" i="2"/>
  <c r="L786" i="2"/>
  <c r="L175" i="2"/>
  <c r="L677" i="2"/>
  <c r="L55" i="2"/>
  <c r="L729" i="2"/>
  <c r="L730" i="2"/>
  <c r="L731" i="2"/>
  <c r="L733" i="2"/>
  <c r="L49" i="2"/>
  <c r="L97" i="2"/>
  <c r="L129" i="2"/>
  <c r="L177" i="2"/>
  <c r="L225" i="2"/>
  <c r="L289" i="2"/>
  <c r="L337" i="2"/>
  <c r="L790" i="2"/>
  <c r="L21" i="2"/>
  <c r="L428" i="2"/>
  <c r="L690" i="2"/>
  <c r="L48" i="2"/>
  <c r="L69" i="2"/>
  <c r="L9" i="2"/>
  <c r="L376" i="2"/>
  <c r="L796" i="2"/>
  <c r="L377" i="2"/>
  <c r="L625" i="2"/>
  <c r="L586" i="2"/>
  <c r="L132" i="2"/>
  <c r="L734" i="2"/>
  <c r="L268" i="2"/>
  <c r="L136" i="2"/>
  <c r="L168" i="2"/>
  <c r="L264" i="2"/>
  <c r="L360" i="2"/>
  <c r="L292" i="2"/>
  <c r="L51" i="2"/>
  <c r="L147" i="2"/>
  <c r="L243" i="2"/>
  <c r="L339" i="2"/>
  <c r="L167" i="2"/>
  <c r="L172" i="2"/>
  <c r="L787" i="2"/>
  <c r="L789" i="2"/>
  <c r="L263" i="2"/>
  <c r="L287" i="2"/>
  <c r="L311" i="2"/>
  <c r="L794" i="2"/>
  <c r="L795" i="2"/>
  <c r="L797" i="2"/>
  <c r="L81" i="2"/>
  <c r="L113" i="2"/>
  <c r="L161" i="2"/>
  <c r="L209" i="2"/>
  <c r="L257" i="2"/>
  <c r="L305" i="2"/>
  <c r="L52" i="2"/>
  <c r="L5" i="2"/>
  <c r="L629" i="2"/>
  <c r="L580" i="2"/>
  <c r="L596" i="2"/>
  <c r="L644" i="2"/>
  <c r="L684" i="2"/>
  <c r="L767" i="2"/>
  <c r="L144" i="2"/>
  <c r="L240" i="2"/>
  <c r="L336" i="2"/>
  <c r="L100" i="2"/>
  <c r="L737" i="2"/>
  <c r="L91" i="2"/>
  <c r="L219" i="2"/>
  <c r="L347" i="2"/>
  <c r="L231" i="2"/>
  <c r="L739" i="2"/>
  <c r="L71" i="2"/>
  <c r="L525" i="2"/>
  <c r="L351" i="2"/>
  <c r="L119" i="2"/>
  <c r="L745" i="2"/>
  <c r="L746" i="2"/>
  <c r="L747" i="2"/>
  <c r="L37" i="2"/>
  <c r="L101" i="2"/>
  <c r="L149" i="2"/>
  <c r="L197" i="2"/>
  <c r="L245" i="2"/>
  <c r="L293" i="2"/>
  <c r="L341" i="2"/>
  <c r="L372" i="2"/>
  <c r="L707" i="2"/>
  <c r="L732" i="2"/>
  <c r="L783" i="2"/>
  <c r="L120" i="2"/>
  <c r="L312" i="2"/>
  <c r="L271" i="2"/>
  <c r="L99" i="2"/>
  <c r="L195" i="2"/>
  <c r="L323" i="2"/>
  <c r="L39" i="2"/>
  <c r="L44" i="2"/>
  <c r="L755" i="2"/>
  <c r="L757" i="2"/>
  <c r="L135" i="2"/>
  <c r="L23" i="2"/>
  <c r="L772" i="2"/>
  <c r="L441" i="2"/>
  <c r="L537" i="2"/>
  <c r="L637" i="2"/>
  <c r="L238" i="2"/>
  <c r="L565" i="2"/>
  <c r="L159" i="2"/>
  <c r="L415" i="2"/>
  <c r="L791" i="2"/>
  <c r="L183" i="2"/>
  <c r="L60" i="2"/>
  <c r="L316" i="2"/>
  <c r="L761" i="2"/>
  <c r="L84" i="2"/>
  <c r="L340" i="2"/>
  <c r="L762" i="2"/>
  <c r="L63" i="2"/>
  <c r="L319" i="2"/>
  <c r="L763" i="2"/>
  <c r="L92" i="2"/>
  <c r="L348" i="2"/>
  <c r="L765" i="2"/>
  <c r="L41" i="2"/>
  <c r="L57" i="2"/>
  <c r="L73" i="2"/>
  <c r="L89" i="2"/>
  <c r="L105" i="2"/>
  <c r="L121" i="2"/>
  <c r="L137" i="2"/>
  <c r="L153" i="2"/>
  <c r="L169" i="2"/>
  <c r="L185" i="2"/>
  <c r="L201" i="2"/>
  <c r="L217" i="2"/>
  <c r="L233" i="2"/>
  <c r="L249" i="2"/>
  <c r="L265" i="2"/>
  <c r="L281" i="2"/>
  <c r="L297" i="2"/>
  <c r="L313" i="2"/>
  <c r="L329" i="2"/>
  <c r="L345" i="2"/>
  <c r="L361" i="2"/>
  <c r="L180" i="2"/>
  <c r="L758" i="2"/>
  <c r="L366" i="2"/>
  <c r="L688" i="2"/>
  <c r="L715" i="2"/>
  <c r="L13" i="2"/>
  <c r="L29" i="2"/>
  <c r="L622" i="2"/>
  <c r="L31" i="2"/>
  <c r="L457" i="2"/>
  <c r="L517" i="2"/>
  <c r="L720" i="2"/>
  <c r="L420" i="2"/>
  <c r="L436" i="2"/>
  <c r="L456" i="2"/>
  <c r="L472" i="2"/>
  <c r="L488" i="2"/>
  <c r="L504" i="2"/>
  <c r="L524" i="2"/>
  <c r="L540" i="2"/>
  <c r="L556" i="2"/>
  <c r="L572" i="2"/>
  <c r="L588" i="2"/>
  <c r="L604" i="2"/>
  <c r="L620" i="2"/>
  <c r="L636" i="2"/>
  <c r="L652" i="2"/>
  <c r="L668" i="2"/>
  <c r="L703" i="2"/>
  <c r="L693" i="2"/>
  <c r="L554" i="2"/>
  <c r="L679" i="2"/>
  <c r="L702" i="2"/>
  <c r="L4" i="2"/>
  <c r="L24" i="2"/>
  <c r="L642" i="2"/>
  <c r="L682" i="2"/>
  <c r="L385" i="2"/>
  <c r="L413" i="2"/>
  <c r="L569" i="2"/>
  <c r="L6" i="2"/>
  <c r="L650" i="2"/>
  <c r="L427" i="2"/>
  <c r="L443" i="2"/>
  <c r="L459" i="2"/>
  <c r="L479" i="2"/>
  <c r="L495" i="2"/>
  <c r="L511" i="2"/>
  <c r="L527" i="2"/>
  <c r="L547" i="2"/>
  <c r="L563" i="2"/>
  <c r="L583" i="2"/>
  <c r="L599" i="2"/>
  <c r="L619" i="2"/>
  <c r="L635" i="2"/>
  <c r="L655" i="2"/>
  <c r="L675" i="2"/>
  <c r="L8" i="2"/>
  <c r="L666" i="2"/>
  <c r="L3" i="2"/>
  <c r="L549" i="2"/>
  <c r="L712" i="2"/>
  <c r="L214" i="2"/>
  <c r="L382" i="2"/>
  <c r="L406" i="2"/>
  <c r="L490" i="2"/>
  <c r="L514" i="2"/>
  <c r="L538" i="2"/>
  <c r="L578" i="2"/>
  <c r="L614" i="2"/>
  <c r="L671" i="2"/>
  <c r="L752" i="2"/>
  <c r="L784" i="2"/>
  <c r="L721" i="2"/>
  <c r="L50" i="2"/>
  <c r="L66" i="2"/>
  <c r="L82" i="2"/>
  <c r="L98" i="2"/>
  <c r="L118" i="2"/>
  <c r="L134" i="2"/>
  <c r="L150" i="2"/>
  <c r="L166" i="2"/>
  <c r="L186" i="2"/>
  <c r="L202" i="2"/>
  <c r="L222" i="2"/>
  <c r="L242" i="2"/>
  <c r="L258" i="2"/>
  <c r="L274" i="2"/>
  <c r="L290" i="2"/>
  <c r="L310" i="2"/>
  <c r="L330" i="2"/>
  <c r="L346" i="2"/>
  <c r="L374" i="2"/>
  <c r="L414" i="2"/>
  <c r="L434" i="2"/>
  <c r="L450" i="2"/>
  <c r="L474" i="2"/>
  <c r="L518" i="2"/>
  <c r="L558" i="2"/>
  <c r="L638" i="2"/>
  <c r="L709" i="2"/>
  <c r="L405" i="2"/>
  <c r="L429" i="2"/>
  <c r="L469" i="2"/>
  <c r="L509" i="2"/>
  <c r="L577" i="2"/>
  <c r="L605" i="2"/>
  <c r="L657" i="2"/>
  <c r="L68" i="2"/>
  <c r="L343" i="2"/>
  <c r="L215" i="2"/>
  <c r="L756" i="2"/>
  <c r="L40" i="2"/>
  <c r="L104" i="2"/>
  <c r="L232" i="2"/>
  <c r="L296" i="2"/>
  <c r="L36" i="2"/>
  <c r="L399" i="2"/>
  <c r="L83" i="2"/>
  <c r="L179" i="2"/>
  <c r="L307" i="2"/>
  <c r="L403" i="2"/>
  <c r="L722" i="2"/>
  <c r="L723" i="2"/>
  <c r="L725" i="2"/>
  <c r="L782" i="2"/>
  <c r="L759" i="2"/>
  <c r="L188" i="2"/>
  <c r="L793" i="2"/>
  <c r="L212" i="2"/>
  <c r="L191" i="2"/>
  <c r="L220" i="2"/>
  <c r="L65" i="2"/>
  <c r="L145" i="2"/>
  <c r="L193" i="2"/>
  <c r="L241" i="2"/>
  <c r="L273" i="2"/>
  <c r="L321" i="2"/>
  <c r="L353" i="2"/>
  <c r="L308" i="2"/>
  <c r="L699" i="2"/>
  <c r="L594" i="2"/>
  <c r="L686" i="2"/>
  <c r="L485" i="2"/>
  <c r="L464" i="2"/>
  <c r="L612" i="2"/>
  <c r="L597" i="2"/>
  <c r="L2" i="2"/>
  <c r="L332" i="2"/>
  <c r="L112" i="2"/>
  <c r="L176" i="2"/>
  <c r="L272" i="2"/>
  <c r="L368" i="2"/>
  <c r="L356" i="2"/>
  <c r="L801" i="2"/>
  <c r="L123" i="2"/>
  <c r="L187" i="2"/>
  <c r="L315" i="2"/>
  <c r="L379" i="2"/>
  <c r="L738" i="2"/>
  <c r="L236" i="2"/>
  <c r="L239" i="2"/>
  <c r="L741" i="2"/>
  <c r="L327" i="2"/>
  <c r="L685" i="2"/>
  <c r="L18" i="2"/>
  <c r="L95" i="2"/>
  <c r="L375" i="2"/>
  <c r="L809" i="2"/>
  <c r="L276" i="2"/>
  <c r="L255" i="2"/>
  <c r="L284" i="2"/>
  <c r="L53" i="2"/>
  <c r="L117" i="2"/>
  <c r="L165" i="2"/>
  <c r="L213" i="2"/>
  <c r="L277" i="2"/>
  <c r="L116" i="2"/>
  <c r="L676" i="2"/>
  <c r="L598" i="2"/>
  <c r="L497" i="2"/>
  <c r="L432" i="2"/>
  <c r="L140" i="2"/>
  <c r="L396" i="2"/>
  <c r="L56" i="2"/>
  <c r="L88" i="2"/>
  <c r="L152" i="2"/>
  <c r="L216" i="2"/>
  <c r="L280" i="2"/>
  <c r="L408" i="2"/>
  <c r="L35" i="2"/>
  <c r="L259" i="2"/>
  <c r="L335" i="2"/>
  <c r="L43" i="2"/>
  <c r="L75" i="2"/>
  <c r="L171" i="2"/>
  <c r="L235" i="2"/>
  <c r="L299" i="2"/>
  <c r="L363" i="2"/>
  <c r="L103" i="2"/>
  <c r="L770" i="2"/>
  <c r="L771" i="2"/>
  <c r="L773" i="2"/>
  <c r="L199" i="2"/>
  <c r="L533" i="2"/>
  <c r="L445" i="2"/>
  <c r="L541" i="2"/>
  <c r="L639" i="2"/>
  <c r="L689" i="2"/>
  <c r="L279" i="2"/>
  <c r="L726" i="2"/>
  <c r="L516" i="2"/>
  <c r="L742" i="2"/>
  <c r="L449" i="2"/>
  <c r="L444" i="2"/>
  <c r="L480" i="2"/>
  <c r="L496" i="2"/>
  <c r="L512" i="2"/>
  <c r="L532" i="2"/>
  <c r="L548" i="2"/>
  <c r="L564" i="2"/>
  <c r="L628" i="2"/>
  <c r="L660" i="2"/>
  <c r="L33" i="2"/>
  <c r="L76" i="2"/>
  <c r="L80" i="2"/>
  <c r="L208" i="2"/>
  <c r="L304" i="2"/>
  <c r="L400" i="2"/>
  <c r="L207" i="2"/>
  <c r="L59" i="2"/>
  <c r="L155" i="2"/>
  <c r="L251" i="2"/>
  <c r="L283" i="2"/>
  <c r="L411" i="2"/>
  <c r="L802" i="2"/>
  <c r="L803" i="2"/>
  <c r="L805" i="2"/>
  <c r="L798" i="2"/>
  <c r="L381" i="2"/>
  <c r="L553" i="2"/>
  <c r="L775" i="2"/>
  <c r="L252" i="2"/>
  <c r="L810" i="2"/>
  <c r="L811" i="2"/>
  <c r="L749" i="2"/>
  <c r="L85" i="2"/>
  <c r="L133" i="2"/>
  <c r="L181" i="2"/>
  <c r="L229" i="2"/>
  <c r="L261" i="2"/>
  <c r="L309" i="2"/>
  <c r="L325" i="2"/>
  <c r="L357" i="2"/>
  <c r="L806" i="2"/>
  <c r="L25" i="2"/>
  <c r="L453" i="2"/>
  <c r="L704" i="2"/>
  <c r="L184" i="2"/>
  <c r="L248" i="2"/>
  <c r="L344" i="2"/>
  <c r="L164" i="2"/>
  <c r="L728" i="2"/>
  <c r="L753" i="2"/>
  <c r="L67" i="2"/>
  <c r="L131" i="2"/>
  <c r="L163" i="2"/>
  <c r="L227" i="2"/>
  <c r="L291" i="2"/>
  <c r="L355" i="2"/>
  <c r="L387" i="2"/>
  <c r="L295" i="2"/>
  <c r="L754" i="2"/>
  <c r="L300" i="2"/>
  <c r="L47" i="2"/>
  <c r="L303" i="2"/>
  <c r="L391" i="2"/>
  <c r="L204" i="2"/>
  <c r="L735" i="2"/>
  <c r="L799" i="2"/>
  <c r="L64" i="2"/>
  <c r="L96" i="2"/>
  <c r="L128" i="2"/>
  <c r="L160" i="2"/>
  <c r="L192" i="2"/>
  <c r="L224" i="2"/>
  <c r="L256" i="2"/>
  <c r="L288" i="2"/>
  <c r="L320" i="2"/>
  <c r="L352" i="2"/>
  <c r="L384" i="2"/>
  <c r="L416" i="2"/>
  <c r="L228" i="2"/>
  <c r="L79" i="2"/>
  <c r="L769" i="2"/>
  <c r="L107" i="2"/>
  <c r="L139" i="2"/>
  <c r="L203" i="2"/>
  <c r="L267" i="2"/>
  <c r="L331" i="2"/>
  <c r="L395" i="2"/>
  <c r="L359" i="2"/>
  <c r="L108" i="2"/>
  <c r="L364" i="2"/>
  <c r="L111" i="2"/>
  <c r="L367" i="2"/>
  <c r="L766" i="2"/>
  <c r="L641" i="2"/>
  <c r="L700" i="2"/>
  <c r="L593" i="2"/>
  <c r="L716" i="2"/>
  <c r="L223" i="2"/>
  <c r="L743" i="2"/>
  <c r="L807" i="2"/>
  <c r="L247" i="2"/>
  <c r="L124" i="2"/>
  <c r="L380" i="2"/>
  <c r="L777" i="2"/>
  <c r="L148" i="2"/>
  <c r="L404" i="2"/>
  <c r="L778" i="2"/>
  <c r="L127" i="2"/>
  <c r="L383" i="2"/>
  <c r="L779" i="2"/>
  <c r="L156" i="2"/>
  <c r="L412" i="2"/>
  <c r="L781" i="2"/>
  <c r="L45" i="2"/>
  <c r="L61" i="2"/>
  <c r="L77" i="2"/>
  <c r="L93" i="2"/>
  <c r="L109" i="2"/>
  <c r="L125" i="2"/>
  <c r="L141" i="2"/>
  <c r="L157" i="2"/>
  <c r="L173" i="2"/>
  <c r="L189" i="2"/>
  <c r="L205" i="2"/>
  <c r="L221" i="2"/>
  <c r="L237" i="2"/>
  <c r="L253" i="2"/>
  <c r="L269" i="2"/>
  <c r="L285" i="2"/>
  <c r="L301" i="2"/>
  <c r="L317" i="2"/>
  <c r="L333" i="2"/>
  <c r="L349" i="2"/>
  <c r="L365" i="2"/>
  <c r="L244" i="2"/>
  <c r="L774" i="2"/>
  <c r="L618" i="2"/>
  <c r="L691" i="2"/>
  <c r="L719" i="2"/>
  <c r="L17" i="2"/>
  <c r="L574" i="2"/>
  <c r="L678" i="2"/>
  <c r="L433" i="2"/>
  <c r="L481" i="2"/>
  <c r="L529" i="2"/>
  <c r="L46" i="2"/>
  <c r="L424" i="2"/>
  <c r="L440" i="2"/>
  <c r="L460" i="2"/>
  <c r="L476" i="2"/>
  <c r="L492" i="2"/>
  <c r="L508" i="2"/>
  <c r="L528" i="2"/>
  <c r="L544" i="2"/>
  <c r="L560" i="2"/>
  <c r="L576" i="2"/>
  <c r="L592" i="2"/>
  <c r="L608" i="2"/>
  <c r="L624" i="2"/>
  <c r="L640" i="2"/>
  <c r="L656" i="2"/>
  <c r="L672" i="2"/>
  <c r="L680" i="2"/>
  <c r="L711" i="2"/>
  <c r="L15" i="2"/>
  <c r="L692" i="2"/>
  <c r="L687" i="2"/>
  <c r="L706" i="2"/>
  <c r="L12" i="2"/>
  <c r="L32" i="2"/>
  <c r="L662" i="2"/>
  <c r="L717" i="2"/>
  <c r="L389" i="2"/>
  <c r="L417" i="2"/>
  <c r="L621" i="2"/>
  <c r="L14" i="2"/>
  <c r="L740" i="2"/>
  <c r="L431" i="2"/>
  <c r="L447" i="2"/>
  <c r="L463" i="2"/>
  <c r="L483" i="2"/>
  <c r="L499" i="2"/>
  <c r="L515" i="2"/>
  <c r="L531" i="2"/>
  <c r="L551" i="2"/>
  <c r="L567" i="2"/>
  <c r="L587" i="2"/>
  <c r="L603" i="2"/>
  <c r="L623" i="2"/>
  <c r="L643" i="2"/>
  <c r="L659" i="2"/>
  <c r="L683" i="2"/>
  <c r="L28" i="2"/>
  <c r="L27" i="2"/>
  <c r="L633" i="2"/>
  <c r="L110" i="2"/>
  <c r="L322" i="2"/>
  <c r="L390" i="2"/>
  <c r="L410" i="2"/>
  <c r="L498" i="2"/>
  <c r="L522" i="2"/>
  <c r="L546" i="2"/>
  <c r="L582" i="2"/>
  <c r="L670" i="2"/>
  <c r="L697" i="2"/>
  <c r="L748" i="2"/>
  <c r="L760" i="2"/>
  <c r="L792" i="2"/>
  <c r="L34" i="2"/>
  <c r="L54" i="2"/>
  <c r="L70" i="2"/>
  <c r="L86" i="2"/>
  <c r="L102" i="2"/>
  <c r="L122" i="2"/>
  <c r="L138" i="2"/>
  <c r="L154" i="2"/>
  <c r="L170" i="2"/>
  <c r="L190" i="2"/>
  <c r="L206" i="2"/>
  <c r="L226" i="2"/>
  <c r="L246" i="2"/>
  <c r="L262" i="2"/>
  <c r="L278" i="2"/>
  <c r="L294" i="2"/>
  <c r="L314" i="2"/>
  <c r="L334" i="2"/>
  <c r="L350" i="2"/>
  <c r="L378" i="2"/>
  <c r="L418" i="2"/>
  <c r="L438" i="2"/>
  <c r="L458" i="2"/>
  <c r="L482" i="2"/>
  <c r="L530" i="2"/>
  <c r="L566" i="2"/>
  <c r="L646" i="2"/>
  <c r="L7" i="2"/>
  <c r="L409" i="2"/>
  <c r="L437" i="2"/>
  <c r="L473" i="2"/>
  <c r="L521" i="2"/>
  <c r="L581" i="2"/>
  <c r="L609" i="2"/>
  <c r="L669" i="2"/>
  <c r="L681" i="2"/>
  <c r="L151" i="2"/>
  <c r="L750" i="2"/>
  <c r="L543" i="2"/>
  <c r="L489" i="2"/>
  <c r="L545" i="2"/>
  <c r="L653" i="2"/>
  <c r="L780" i="2"/>
  <c r="L788" i="2"/>
  <c r="L452" i="2"/>
  <c r="L601" i="2"/>
  <c r="L10" i="2"/>
  <c r="L804" i="2"/>
  <c r="L764" i="2"/>
  <c r="L388" i="2"/>
  <c r="L196" i="2"/>
  <c r="L710" i="2"/>
  <c r="L16" i="2"/>
  <c r="L602" i="2"/>
  <c r="L19" i="2"/>
  <c r="L397" i="2"/>
  <c r="L513" i="2"/>
  <c r="L26" i="2"/>
  <c r="L419" i="2"/>
  <c r="L435" i="2"/>
  <c r="L451" i="2"/>
  <c r="L467" i="2"/>
  <c r="L487" i="2"/>
  <c r="L503" i="2"/>
  <c r="L519" i="2"/>
  <c r="L535" i="2"/>
  <c r="L555" i="2"/>
  <c r="L571" i="2"/>
  <c r="L591" i="2"/>
  <c r="L611" i="2"/>
  <c r="L627" i="2"/>
  <c r="L647" i="2"/>
  <c r="L663" i="2"/>
  <c r="L694" i="2"/>
  <c r="L478" i="2"/>
  <c r="L705" i="2"/>
  <c r="L493" i="2"/>
  <c r="L649" i="2"/>
  <c r="L575" i="2"/>
  <c r="L354" i="2"/>
  <c r="L394" i="2"/>
  <c r="L454" i="2"/>
  <c r="L502" i="2"/>
  <c r="L526" i="2"/>
  <c r="L562" i="2"/>
  <c r="L590" i="2"/>
  <c r="L674" i="2"/>
  <c r="L11" i="2"/>
  <c r="L736" i="2"/>
  <c r="L768" i="2"/>
  <c r="L800" i="2"/>
  <c r="L38" i="2"/>
  <c r="L58" i="2"/>
  <c r="L74" i="2"/>
  <c r="L90" i="2"/>
  <c r="L106" i="2"/>
  <c r="L126" i="2"/>
  <c r="L142" i="2"/>
  <c r="L158" i="2"/>
  <c r="L178" i="2"/>
  <c r="L194" i="2"/>
  <c r="L210" i="2"/>
  <c r="L230" i="2"/>
  <c r="L250" i="2"/>
  <c r="L266" i="2"/>
  <c r="L282" i="2"/>
  <c r="L298" i="2"/>
  <c r="L318" i="2"/>
  <c r="L338" i="2"/>
  <c r="L358" i="2"/>
  <c r="L386" i="2"/>
  <c r="L422" i="2"/>
  <c r="L442" i="2"/>
  <c r="L462" i="2"/>
  <c r="L486" i="2"/>
  <c r="L542" i="2"/>
  <c r="L626" i="2"/>
  <c r="L658" i="2"/>
  <c r="L369" i="2"/>
  <c r="L421" i="2"/>
  <c r="L461" i="2"/>
  <c r="L477" i="2"/>
  <c r="L561" i="2"/>
  <c r="L585" i="2"/>
  <c r="L613" i="2"/>
  <c r="L673" i="2"/>
  <c r="L22" i="2"/>
  <c r="L87" i="2"/>
  <c r="L727" i="2"/>
  <c r="L260" i="2"/>
  <c r="L661" i="2"/>
  <c r="L617" i="2"/>
  <c r="L302" i="2"/>
  <c r="L324" i="2"/>
  <c r="L174" i="2"/>
  <c r="L494" i="2"/>
  <c r="L448" i="2"/>
  <c r="L468" i="2"/>
  <c r="L484" i="2"/>
  <c r="L500" i="2"/>
  <c r="L520" i="2"/>
  <c r="L536" i="2"/>
  <c r="L552" i="2"/>
  <c r="L568" i="2"/>
  <c r="L584" i="2"/>
  <c r="L600" i="2"/>
  <c r="L616" i="2"/>
  <c r="L632" i="2"/>
  <c r="L648" i="2"/>
  <c r="L664" i="2"/>
  <c r="L695" i="2"/>
  <c r="L634" i="2"/>
  <c r="L698" i="2"/>
  <c r="L718" i="2"/>
  <c r="L20" i="2"/>
  <c r="L606" i="2"/>
  <c r="L373" i="2"/>
  <c r="L401" i="2"/>
  <c r="L557" i="2"/>
  <c r="L696" i="2"/>
  <c r="L430" i="2"/>
  <c r="L423" i="2"/>
  <c r="L439" i="2"/>
  <c r="L455" i="2"/>
  <c r="L475" i="2"/>
  <c r="L491" i="2"/>
  <c r="L507" i="2"/>
  <c r="L523" i="2"/>
  <c r="L539" i="2"/>
  <c r="L559" i="2"/>
  <c r="L579" i="2"/>
  <c r="L595" i="2"/>
  <c r="L615" i="2"/>
  <c r="L631" i="2"/>
  <c r="L651" i="2"/>
  <c r="L667" i="2"/>
  <c r="L714" i="2"/>
  <c r="L654" i="2"/>
  <c r="L713" i="2"/>
  <c r="L501" i="2"/>
  <c r="L665" i="2"/>
  <c r="L708" i="2"/>
  <c r="L362" i="2"/>
  <c r="L402" i="2"/>
  <c r="L466" i="2"/>
  <c r="L510" i="2"/>
  <c r="L534" i="2"/>
  <c r="L570" i="2"/>
  <c r="L610" i="2"/>
  <c r="L471" i="2"/>
  <c r="L744" i="2"/>
  <c r="L776" i="2"/>
  <c r="L808" i="2"/>
  <c r="L42" i="2"/>
  <c r="L62" i="2"/>
  <c r="L78" i="2"/>
  <c r="L94" i="2"/>
  <c r="L114" i="2"/>
  <c r="L130" i="2"/>
  <c r="L146" i="2"/>
  <c r="L162" i="2"/>
  <c r="L182" i="2"/>
  <c r="L198" i="2"/>
  <c r="L218" i="2"/>
  <c r="L234" i="2"/>
  <c r="L254" i="2"/>
  <c r="L270" i="2"/>
  <c r="L286" i="2"/>
  <c r="L306" i="2"/>
  <c r="L326" i="2"/>
  <c r="L342" i="2"/>
  <c r="L370" i="2"/>
  <c r="L398" i="2"/>
  <c r="L426" i="2"/>
  <c r="L446" i="2"/>
  <c r="L470" i="2"/>
  <c r="L506" i="2"/>
  <c r="L550" i="2"/>
  <c r="L630" i="2"/>
  <c r="L701" i="2"/>
  <c r="L393" i="2"/>
  <c r="L425" i="2"/>
  <c r="L465" i="2"/>
  <c r="L505" i="2"/>
  <c r="L573" i="2"/>
  <c r="L589" i="2"/>
  <c r="L645" i="2"/>
  <c r="L30" i="2"/>
  <c r="L724" i="2"/>
  <c r="L407" i="2"/>
  <c r="L607" i="2"/>
  <c r="J306" i="2" l="1"/>
  <c r="J162" i="2"/>
  <c r="J534" i="2"/>
  <c r="J484" i="2"/>
  <c r="J174" i="2"/>
  <c r="J369" i="2"/>
  <c r="J486" i="2"/>
  <c r="J158" i="2"/>
  <c r="J502" i="2"/>
  <c r="J435" i="2"/>
  <c r="J602" i="2"/>
  <c r="J646" i="2"/>
  <c r="J70" i="2"/>
  <c r="J582" i="2"/>
  <c r="J15" i="2"/>
  <c r="J656" i="2"/>
  <c r="J618" i="2"/>
  <c r="J349" i="2"/>
  <c r="J108" i="2"/>
  <c r="J47" i="2"/>
  <c r="J387" i="2"/>
  <c r="J411" i="2"/>
  <c r="J660" i="2"/>
  <c r="J532" i="2"/>
  <c r="J598" i="2"/>
  <c r="J375" i="2"/>
  <c r="J327" i="2"/>
  <c r="J699" i="2"/>
  <c r="J403" i="2"/>
  <c r="J399" i="2"/>
  <c r="J104" i="2"/>
  <c r="J343" i="2"/>
  <c r="J429" i="2"/>
  <c r="J558" i="2"/>
  <c r="J538" i="2"/>
  <c r="J3" i="2"/>
  <c r="J459" i="2"/>
  <c r="J682" i="2"/>
  <c r="J703" i="2"/>
  <c r="J636" i="2"/>
  <c r="J572" i="2"/>
  <c r="J329" i="2"/>
  <c r="J137" i="2"/>
  <c r="J120" i="2"/>
  <c r="J644" i="2"/>
  <c r="J5" i="2"/>
  <c r="J172" i="2"/>
  <c r="J409" i="2"/>
  <c r="J522" i="2"/>
  <c r="J662" i="2"/>
  <c r="J433" i="2"/>
  <c r="J325" i="2"/>
  <c r="J76" i="2"/>
  <c r="J670" i="2"/>
  <c r="J45" i="2"/>
  <c r="J124" i="2"/>
  <c r="J564" i="2"/>
  <c r="J377" i="2"/>
  <c r="J427" i="2"/>
  <c r="J60" i="2"/>
  <c r="J341" i="2"/>
  <c r="J634" i="2"/>
  <c r="J100" i="2"/>
  <c r="J580" i="2"/>
  <c r="J586" i="2"/>
  <c r="J630" i="2"/>
  <c r="J688" i="2"/>
  <c r="J381" i="2"/>
  <c r="J43" i="2"/>
  <c r="J397" i="2"/>
  <c r="J79" i="2"/>
  <c r="J357" i="2"/>
  <c r="J92" i="2"/>
  <c r="J439" i="2"/>
  <c r="J127" i="2"/>
  <c r="J95" i="2"/>
  <c r="J68" i="2"/>
  <c r="J31" i="2"/>
  <c r="J121" i="2"/>
  <c r="J143" i="2"/>
  <c r="J570" i="2"/>
  <c r="J510" i="2"/>
  <c r="J373" i="2"/>
  <c r="J494" i="2"/>
  <c r="J156" i="2"/>
  <c r="J111" i="2"/>
  <c r="J395" i="2"/>
  <c r="J391" i="2"/>
  <c r="J453" i="2"/>
  <c r="J449" i="2"/>
  <c r="J88" i="2"/>
  <c r="J116" i="2"/>
  <c r="J686" i="2"/>
  <c r="J723" i="2"/>
  <c r="J150" i="2"/>
  <c r="J614" i="2"/>
  <c r="J490" i="2"/>
  <c r="J413" i="2"/>
  <c r="J554" i="2"/>
  <c r="J668" i="2"/>
  <c r="J604" i="2"/>
  <c r="J540" i="2"/>
  <c r="J622" i="2"/>
  <c r="J361" i="2"/>
  <c r="J136" i="2"/>
  <c r="J337" i="2"/>
  <c r="J72" i="2"/>
  <c r="J500" i="2"/>
  <c r="J469" i="2"/>
  <c r="J650" i="2"/>
  <c r="J84" i="2"/>
  <c r="J684" i="2"/>
  <c r="J471" i="2"/>
  <c r="J585" i="2"/>
  <c r="J250" i="2"/>
  <c r="J780" i="2"/>
  <c r="J698" i="2"/>
  <c r="J669" i="2"/>
  <c r="J138" i="2"/>
  <c r="J633" i="2"/>
  <c r="J93" i="2"/>
  <c r="J199" i="2"/>
  <c r="J213" i="2"/>
  <c r="J69" i="2"/>
  <c r="J30" i="2"/>
  <c r="J393" i="2"/>
  <c r="J506" i="2"/>
  <c r="J398" i="2"/>
  <c r="J234" i="2"/>
  <c r="J94" i="2"/>
  <c r="J808" i="2"/>
  <c r="J362" i="2"/>
  <c r="J713" i="2"/>
  <c r="J667" i="2"/>
  <c r="J595" i="2"/>
  <c r="J523" i="2"/>
  <c r="J455" i="2"/>
  <c r="J696" i="2"/>
  <c r="J661" i="2"/>
  <c r="J22" i="2"/>
  <c r="J386" i="2"/>
  <c r="J298" i="2"/>
  <c r="J800" i="2"/>
  <c r="J674" i="2"/>
  <c r="J575" i="2"/>
  <c r="J478" i="2"/>
  <c r="J647" i="2"/>
  <c r="J503" i="2"/>
  <c r="J388" i="2"/>
  <c r="J601" i="2"/>
  <c r="J750" i="2"/>
  <c r="J473" i="2"/>
  <c r="J458" i="2"/>
  <c r="J350" i="2"/>
  <c r="J206" i="2"/>
  <c r="J760" i="2"/>
  <c r="J623" i="2"/>
  <c r="J551" i="2"/>
  <c r="J483" i="2"/>
  <c r="J740" i="2"/>
  <c r="J389" i="2"/>
  <c r="J12" i="2"/>
  <c r="J592" i="2"/>
  <c r="J528" i="2"/>
  <c r="J460" i="2"/>
  <c r="J529" i="2"/>
  <c r="J574" i="2"/>
  <c r="J285" i="2"/>
  <c r="J157" i="2"/>
  <c r="J781" i="2"/>
  <c r="J383" i="2"/>
  <c r="J148" i="2"/>
  <c r="J247" i="2"/>
  <c r="J716" i="2"/>
  <c r="J766" i="2"/>
  <c r="J267" i="2"/>
  <c r="J384" i="2"/>
  <c r="J256" i="2"/>
  <c r="J128" i="2"/>
  <c r="J735" i="2"/>
  <c r="J163" i="2"/>
  <c r="J728" i="2"/>
  <c r="J184" i="2"/>
  <c r="J806" i="2"/>
  <c r="J261" i="2"/>
  <c r="J252" i="2"/>
  <c r="J798" i="2"/>
  <c r="J59" i="2"/>
  <c r="J208" i="2"/>
  <c r="J516" i="2"/>
  <c r="J639" i="2"/>
  <c r="J103" i="2"/>
  <c r="J171" i="2"/>
  <c r="J259" i="2"/>
  <c r="J216" i="2"/>
  <c r="J396" i="2"/>
  <c r="J284" i="2"/>
  <c r="J738" i="2"/>
  <c r="J123" i="2"/>
  <c r="J272" i="2"/>
  <c r="J2" i="2"/>
  <c r="J321" i="2"/>
  <c r="J145" i="2"/>
  <c r="J212" i="2"/>
  <c r="J782" i="2"/>
  <c r="J605" i="2"/>
  <c r="J434" i="2"/>
  <c r="J330" i="2"/>
  <c r="J258" i="2"/>
  <c r="J186" i="2"/>
  <c r="J118" i="2"/>
  <c r="J671" i="2"/>
  <c r="J382" i="2"/>
  <c r="J675" i="2"/>
  <c r="J599" i="2"/>
  <c r="J527" i="2"/>
  <c r="J436" i="2"/>
  <c r="J457" i="2"/>
  <c r="J13" i="2"/>
  <c r="J265" i="2"/>
  <c r="J201" i="2"/>
  <c r="J73" i="2"/>
  <c r="J348" i="2"/>
  <c r="J63" i="2"/>
  <c r="J791" i="2"/>
  <c r="J772" i="2"/>
  <c r="J755" i="2"/>
  <c r="J195" i="2"/>
  <c r="J707" i="2"/>
  <c r="J245" i="2"/>
  <c r="J37" i="2"/>
  <c r="J739" i="2"/>
  <c r="J91" i="2"/>
  <c r="J240" i="2"/>
  <c r="J209" i="2"/>
  <c r="J797" i="2"/>
  <c r="J287" i="2"/>
  <c r="J147" i="2"/>
  <c r="J264" i="2"/>
  <c r="J734" i="2"/>
  <c r="J21" i="2"/>
  <c r="J225" i="2"/>
  <c r="J49" i="2"/>
  <c r="J729" i="2"/>
  <c r="J786" i="2"/>
  <c r="J115" i="2"/>
  <c r="J328" i="2"/>
  <c r="J114" i="2"/>
  <c r="J521" i="2"/>
  <c r="J552" i="2"/>
  <c r="J230" i="2"/>
  <c r="J653" i="2"/>
  <c r="J238" i="2"/>
  <c r="J573" i="2"/>
  <c r="J701" i="2"/>
  <c r="J370" i="2"/>
  <c r="J286" i="2"/>
  <c r="J146" i="2"/>
  <c r="J654" i="2"/>
  <c r="J507" i="2"/>
  <c r="J606" i="2"/>
  <c r="J664" i="2"/>
  <c r="J673" i="2"/>
  <c r="J658" i="2"/>
  <c r="J142" i="2"/>
  <c r="J74" i="2"/>
  <c r="J590" i="2"/>
  <c r="J649" i="2"/>
  <c r="J555" i="2"/>
  <c r="J419" i="2"/>
  <c r="J452" i="2"/>
  <c r="J437" i="2"/>
  <c r="J566" i="2"/>
  <c r="J262" i="2"/>
  <c r="J546" i="2"/>
  <c r="J390" i="2"/>
  <c r="J27" i="2"/>
  <c r="J463" i="2"/>
  <c r="J640" i="2"/>
  <c r="J508" i="2"/>
  <c r="J481" i="2"/>
  <c r="J333" i="2"/>
  <c r="J205" i="2"/>
  <c r="J77" i="2"/>
  <c r="J777" i="2"/>
  <c r="J367" i="2"/>
  <c r="J359" i="2"/>
  <c r="J355" i="2"/>
  <c r="J207" i="2"/>
  <c r="J628" i="2"/>
  <c r="J726" i="2"/>
  <c r="J363" i="2"/>
  <c r="J35" i="2"/>
  <c r="J152" i="2"/>
  <c r="J140" i="2"/>
  <c r="J676" i="2"/>
  <c r="J379" i="2"/>
  <c r="J801" i="2"/>
  <c r="J176" i="2"/>
  <c r="J485" i="2"/>
  <c r="J793" i="2"/>
  <c r="J36" i="2"/>
  <c r="J40" i="2"/>
  <c r="J577" i="2"/>
  <c r="J405" i="2"/>
  <c r="J518" i="2"/>
  <c r="J166" i="2"/>
  <c r="J98" i="2"/>
  <c r="J514" i="2"/>
  <c r="J666" i="2"/>
  <c r="J443" i="2"/>
  <c r="J642" i="2"/>
  <c r="J556" i="2"/>
  <c r="J488" i="2"/>
  <c r="J420" i="2"/>
  <c r="J715" i="2"/>
  <c r="J313" i="2"/>
  <c r="J316" i="2"/>
  <c r="J415" i="2"/>
  <c r="J637" i="2"/>
  <c r="J23" i="2"/>
  <c r="J197" i="2"/>
  <c r="J351" i="2"/>
  <c r="J737" i="2"/>
  <c r="J596" i="2"/>
  <c r="J51" i="2"/>
  <c r="J168" i="2"/>
  <c r="J132" i="2"/>
  <c r="J790" i="2"/>
  <c r="J55" i="2"/>
  <c r="J371" i="2"/>
  <c r="J785" i="2"/>
  <c r="J539" i="2"/>
  <c r="J718" i="2"/>
  <c r="J451" i="2"/>
  <c r="J681" i="2"/>
  <c r="J90" i="2"/>
  <c r="J513" i="2"/>
  <c r="J278" i="2"/>
  <c r="J410" i="2"/>
  <c r="J464" i="2"/>
  <c r="J505" i="2"/>
  <c r="J78" i="2"/>
  <c r="J708" i="2"/>
  <c r="J651" i="2"/>
  <c r="J579" i="2"/>
  <c r="J557" i="2"/>
  <c r="J600" i="2"/>
  <c r="J536" i="2"/>
  <c r="J468" i="2"/>
  <c r="J324" i="2"/>
  <c r="J260" i="2"/>
  <c r="J477" i="2"/>
  <c r="J462" i="2"/>
  <c r="J358" i="2"/>
  <c r="J282" i="2"/>
  <c r="J210" i="2"/>
  <c r="J768" i="2"/>
  <c r="J454" i="2"/>
  <c r="J694" i="2"/>
  <c r="J627" i="2"/>
  <c r="J487" i="2"/>
  <c r="J16" i="2"/>
  <c r="J764" i="2"/>
  <c r="J545" i="2"/>
  <c r="J151" i="2"/>
  <c r="J609" i="2"/>
  <c r="J438" i="2"/>
  <c r="J334" i="2"/>
  <c r="J190" i="2"/>
  <c r="J122" i="2"/>
  <c r="J54" i="2"/>
  <c r="J748" i="2"/>
  <c r="J603" i="2"/>
  <c r="J531" i="2"/>
  <c r="J14" i="2"/>
  <c r="J717" i="2"/>
  <c r="J706" i="2"/>
  <c r="J711" i="2"/>
  <c r="J576" i="2"/>
  <c r="J440" i="2"/>
  <c r="J17" i="2"/>
  <c r="J774" i="2"/>
  <c r="J269" i="2"/>
  <c r="J141" i="2"/>
  <c r="J412" i="2"/>
  <c r="J807" i="2"/>
  <c r="J593" i="2"/>
  <c r="J203" i="2"/>
  <c r="J352" i="2"/>
  <c r="J224" i="2"/>
  <c r="J96" i="2"/>
  <c r="J204" i="2"/>
  <c r="J300" i="2"/>
  <c r="J131" i="2"/>
  <c r="J164" i="2"/>
  <c r="J704" i="2"/>
  <c r="J229" i="2"/>
  <c r="J749" i="2"/>
  <c r="J775" i="2"/>
  <c r="J805" i="2"/>
  <c r="J283" i="2"/>
  <c r="J80" i="2"/>
  <c r="J512" i="2"/>
  <c r="J541" i="2"/>
  <c r="J773" i="2"/>
  <c r="J75" i="2"/>
  <c r="J165" i="2"/>
  <c r="J255" i="2"/>
  <c r="J741" i="2"/>
  <c r="J597" i="2"/>
  <c r="J273" i="2"/>
  <c r="J65" i="2"/>
  <c r="J725" i="2"/>
  <c r="J307" i="2"/>
  <c r="J414" i="2"/>
  <c r="J310" i="2"/>
  <c r="J242" i="2"/>
  <c r="J721" i="2"/>
  <c r="J214" i="2"/>
  <c r="J655" i="2"/>
  <c r="J583" i="2"/>
  <c r="J511" i="2"/>
  <c r="J569" i="2"/>
  <c r="J679" i="2"/>
  <c r="J620" i="2"/>
  <c r="J180" i="2"/>
  <c r="J249" i="2"/>
  <c r="J185" i="2"/>
  <c r="J57" i="2"/>
  <c r="J762" i="2"/>
  <c r="J44" i="2"/>
  <c r="J99" i="2"/>
  <c r="J783" i="2"/>
  <c r="J372" i="2"/>
  <c r="J747" i="2"/>
  <c r="J231" i="2"/>
  <c r="J144" i="2"/>
  <c r="J52" i="2"/>
  <c r="J161" i="2"/>
  <c r="J795" i="2"/>
  <c r="J263" i="2"/>
  <c r="J167" i="2"/>
  <c r="J796" i="2"/>
  <c r="J48" i="2"/>
  <c r="J177" i="2"/>
  <c r="J733" i="2"/>
  <c r="J200" i="2"/>
  <c r="J724" i="2"/>
  <c r="J402" i="2"/>
  <c r="J617" i="2"/>
  <c r="J318" i="2"/>
  <c r="J38" i="2"/>
  <c r="J591" i="2"/>
  <c r="J196" i="2"/>
  <c r="J616" i="2"/>
  <c r="J50" i="2"/>
  <c r="J702" i="2"/>
  <c r="J504" i="2"/>
  <c r="J761" i="2"/>
  <c r="J607" i="2"/>
  <c r="J470" i="2"/>
  <c r="J218" i="2"/>
  <c r="J776" i="2"/>
  <c r="J407" i="2"/>
  <c r="J270" i="2"/>
  <c r="J130" i="2"/>
  <c r="J610" i="2"/>
  <c r="J466" i="2"/>
  <c r="J559" i="2"/>
  <c r="J491" i="2"/>
  <c r="J423" i="2"/>
  <c r="J401" i="2"/>
  <c r="J648" i="2"/>
  <c r="J302" i="2"/>
  <c r="J613" i="2"/>
  <c r="J626" i="2"/>
  <c r="J338" i="2"/>
  <c r="J58" i="2"/>
  <c r="J562" i="2"/>
  <c r="J19" i="2"/>
  <c r="J530" i="2"/>
  <c r="J246" i="2"/>
  <c r="J697" i="2"/>
  <c r="J322" i="2"/>
  <c r="J447" i="2"/>
  <c r="J680" i="2"/>
  <c r="J624" i="2"/>
  <c r="J492" i="2"/>
  <c r="J189" i="2"/>
  <c r="J61" i="2"/>
  <c r="J380" i="2"/>
  <c r="J181" i="2"/>
  <c r="J432" i="2"/>
  <c r="J18" i="2"/>
  <c r="J709" i="2"/>
  <c r="J82" i="2"/>
  <c r="J712" i="2"/>
  <c r="J495" i="2"/>
  <c r="J472" i="2"/>
  <c r="J169" i="2"/>
  <c r="J159" i="2"/>
  <c r="J347" i="2"/>
  <c r="J339" i="2"/>
  <c r="J129" i="2"/>
  <c r="J731" i="2"/>
  <c r="J589" i="2"/>
  <c r="J182" i="2"/>
  <c r="J615" i="2"/>
  <c r="J106" i="2"/>
  <c r="J663" i="2"/>
  <c r="J10" i="2"/>
  <c r="J561" i="2"/>
  <c r="J683" i="2"/>
  <c r="J221" i="2"/>
  <c r="J85" i="2"/>
  <c r="J6" i="2"/>
  <c r="J645" i="2"/>
  <c r="J446" i="2"/>
  <c r="J198" i="2"/>
  <c r="J62" i="2"/>
  <c r="J744" i="2"/>
  <c r="J665" i="2"/>
  <c r="J714" i="2"/>
  <c r="J631" i="2"/>
  <c r="J20" i="2"/>
  <c r="J584" i="2"/>
  <c r="J520" i="2"/>
  <c r="J448" i="2"/>
  <c r="J727" i="2"/>
  <c r="J461" i="2"/>
  <c r="J442" i="2"/>
  <c r="J266" i="2"/>
  <c r="J194" i="2"/>
  <c r="J126" i="2"/>
  <c r="J736" i="2"/>
  <c r="J394" i="2"/>
  <c r="J493" i="2"/>
  <c r="J611" i="2"/>
  <c r="J535" i="2"/>
  <c r="J467" i="2"/>
  <c r="J26" i="2"/>
  <c r="J710" i="2"/>
  <c r="J804" i="2"/>
  <c r="J788" i="2"/>
  <c r="J489" i="2"/>
  <c r="J581" i="2"/>
  <c r="J418" i="2"/>
  <c r="J314" i="2"/>
  <c r="J170" i="2"/>
  <c r="J102" i="2"/>
  <c r="J34" i="2"/>
  <c r="J659" i="2"/>
  <c r="J587" i="2"/>
  <c r="J515" i="2"/>
  <c r="J621" i="2"/>
  <c r="J687" i="2"/>
  <c r="J560" i="2"/>
  <c r="J424" i="2"/>
  <c r="J719" i="2"/>
  <c r="J244" i="2"/>
  <c r="J317" i="2"/>
  <c r="J253" i="2"/>
  <c r="J125" i="2"/>
  <c r="J778" i="2"/>
  <c r="J743" i="2"/>
  <c r="J700" i="2"/>
  <c r="J139" i="2"/>
  <c r="J228" i="2"/>
  <c r="J320" i="2"/>
  <c r="J192" i="2"/>
  <c r="J64" i="2"/>
  <c r="J754" i="2"/>
  <c r="J291" i="2"/>
  <c r="J67" i="2"/>
  <c r="J344" i="2"/>
  <c r="J811" i="2"/>
  <c r="J553" i="2"/>
  <c r="J803" i="2"/>
  <c r="J251" i="2"/>
  <c r="J400" i="2"/>
  <c r="J496" i="2"/>
  <c r="J279" i="2"/>
  <c r="J445" i="2"/>
  <c r="J771" i="2"/>
  <c r="J299" i="2"/>
  <c r="J408" i="2"/>
  <c r="J117" i="2"/>
  <c r="J276" i="2"/>
  <c r="J239" i="2"/>
  <c r="J315" i="2"/>
  <c r="J356" i="2"/>
  <c r="J112" i="2"/>
  <c r="J308" i="2"/>
  <c r="J241" i="2"/>
  <c r="J220" i="2"/>
  <c r="J188" i="2"/>
  <c r="J179" i="2"/>
  <c r="J296" i="2"/>
  <c r="J756" i="2"/>
  <c r="J509" i="2"/>
  <c r="J474" i="2"/>
  <c r="J374" i="2"/>
  <c r="J290" i="2"/>
  <c r="J222" i="2"/>
  <c r="J784" i="2"/>
  <c r="J8" i="2"/>
  <c r="J635" i="2"/>
  <c r="J563" i="2"/>
  <c r="J24" i="2"/>
  <c r="J720" i="2"/>
  <c r="J297" i="2"/>
  <c r="J233" i="2"/>
  <c r="J105" i="2"/>
  <c r="J41" i="2"/>
  <c r="J763" i="2"/>
  <c r="J340" i="2"/>
  <c r="J537" i="2"/>
  <c r="J135" i="2"/>
  <c r="J39" i="2"/>
  <c r="J271" i="2"/>
  <c r="J732" i="2"/>
  <c r="J149" i="2"/>
  <c r="J746" i="2"/>
  <c r="J525" i="2"/>
  <c r="J767" i="2"/>
  <c r="J305" i="2"/>
  <c r="J113" i="2"/>
  <c r="J794" i="2"/>
  <c r="J789" i="2"/>
  <c r="J292" i="2"/>
  <c r="J376" i="2"/>
  <c r="J690" i="2"/>
  <c r="J677" i="2"/>
  <c r="J275" i="2"/>
  <c r="J326" i="2"/>
  <c r="J42" i="2"/>
  <c r="J422" i="2"/>
  <c r="J178" i="2"/>
  <c r="J11" i="2"/>
  <c r="J519" i="2"/>
  <c r="J7" i="2"/>
  <c r="J571" i="2"/>
  <c r="J769" i="2"/>
  <c r="J444" i="2"/>
  <c r="J758" i="2"/>
  <c r="J119" i="2"/>
  <c r="J465" i="2"/>
  <c r="J342" i="2"/>
  <c r="J425" i="2"/>
  <c r="J550" i="2"/>
  <c r="J426" i="2"/>
  <c r="J254" i="2"/>
  <c r="J501" i="2"/>
  <c r="J475" i="2"/>
  <c r="J430" i="2"/>
  <c r="J695" i="2"/>
  <c r="J632" i="2"/>
  <c r="J568" i="2"/>
  <c r="J87" i="2"/>
  <c r="J421" i="2"/>
  <c r="J542" i="2"/>
  <c r="J526" i="2"/>
  <c r="J354" i="2"/>
  <c r="J705" i="2"/>
  <c r="J543" i="2"/>
  <c r="J482" i="2"/>
  <c r="J378" i="2"/>
  <c r="J294" i="2"/>
  <c r="J154" i="2"/>
  <c r="J86" i="2"/>
  <c r="J498" i="2"/>
  <c r="J431" i="2"/>
  <c r="J417" i="2"/>
  <c r="J672" i="2"/>
  <c r="J678" i="2"/>
  <c r="J691" i="2"/>
  <c r="J365" i="2"/>
  <c r="J173" i="2"/>
  <c r="J223" i="2"/>
  <c r="J331" i="2"/>
  <c r="J416" i="2"/>
  <c r="J753" i="2"/>
  <c r="J133" i="2"/>
  <c r="J33" i="2"/>
  <c r="J548" i="2"/>
  <c r="J480" i="2"/>
  <c r="J335" i="2"/>
  <c r="J809" i="2"/>
  <c r="J612" i="2"/>
  <c r="J594" i="2"/>
  <c r="J353" i="2"/>
  <c r="J191" i="2"/>
  <c r="J215" i="2"/>
  <c r="J638" i="2"/>
  <c r="J66" i="2"/>
  <c r="J578" i="2"/>
  <c r="J549" i="2"/>
  <c r="J619" i="2"/>
  <c r="J479" i="2"/>
  <c r="J385" i="2"/>
  <c r="J4" i="2"/>
  <c r="J693" i="2"/>
  <c r="J652" i="2"/>
  <c r="J588" i="2"/>
  <c r="J524" i="2"/>
  <c r="J456" i="2"/>
  <c r="J29" i="2"/>
  <c r="J345" i="2"/>
  <c r="J153" i="2"/>
  <c r="J319" i="2"/>
  <c r="J183" i="2"/>
  <c r="J565" i="2"/>
  <c r="J323" i="2"/>
  <c r="J312" i="2"/>
  <c r="J101" i="2"/>
  <c r="J745" i="2"/>
  <c r="J71" i="2"/>
  <c r="J9" i="2"/>
  <c r="J392" i="2"/>
  <c r="J226" i="2"/>
  <c r="J792" i="2"/>
  <c r="J110" i="2"/>
  <c r="J28" i="2"/>
  <c r="J643" i="2"/>
  <c r="J567" i="2"/>
  <c r="J499" i="2"/>
  <c r="J32" i="2"/>
  <c r="J692" i="2"/>
  <c r="J608" i="2"/>
  <c r="J544" i="2"/>
  <c r="J476" i="2"/>
  <c r="J46" i="2"/>
  <c r="J301" i="2"/>
  <c r="J237" i="2"/>
  <c r="J109" i="2"/>
  <c r="J779" i="2"/>
  <c r="J404" i="2"/>
  <c r="J641" i="2"/>
  <c r="J364" i="2"/>
  <c r="J107" i="2"/>
  <c r="J288" i="2"/>
  <c r="J160" i="2"/>
  <c r="J799" i="2"/>
  <c r="J303" i="2"/>
  <c r="J295" i="2"/>
  <c r="J227" i="2"/>
  <c r="J248" i="2"/>
  <c r="J25" i="2"/>
  <c r="J309" i="2"/>
  <c r="J810" i="2"/>
  <c r="J802" i="2"/>
  <c r="J155" i="2"/>
  <c r="J304" i="2"/>
  <c r="J742" i="2"/>
  <c r="J689" i="2"/>
  <c r="J533" i="2"/>
  <c r="J770" i="2"/>
  <c r="J235" i="2"/>
  <c r="J280" i="2"/>
  <c r="J56" i="2"/>
  <c r="J497" i="2"/>
  <c r="J277" i="2"/>
  <c r="J53" i="2"/>
  <c r="J685" i="2"/>
  <c r="J236" i="2"/>
  <c r="J187" i="2"/>
  <c r="J368" i="2"/>
  <c r="J332" i="2"/>
  <c r="J193" i="2"/>
  <c r="J759" i="2"/>
  <c r="J722" i="2"/>
  <c r="J83" i="2"/>
  <c r="J232" i="2"/>
  <c r="J657" i="2"/>
  <c r="J450" i="2"/>
  <c r="J346" i="2"/>
  <c r="J274" i="2"/>
  <c r="J202" i="2"/>
  <c r="J134" i="2"/>
  <c r="J752" i="2"/>
  <c r="J406" i="2"/>
  <c r="J547" i="2"/>
  <c r="J517" i="2"/>
  <c r="J366" i="2"/>
  <c r="J281" i="2"/>
  <c r="J217" i="2"/>
  <c r="J89" i="2"/>
  <c r="J765" i="2"/>
  <c r="J441" i="2"/>
  <c r="J757" i="2"/>
  <c r="J293" i="2"/>
  <c r="J219" i="2"/>
  <c r="J336" i="2"/>
  <c r="J629" i="2"/>
  <c r="J257" i="2"/>
  <c r="J81" i="2"/>
  <c r="J311" i="2"/>
  <c r="J787" i="2"/>
  <c r="J243" i="2"/>
  <c r="J360" i="2"/>
  <c r="J268" i="2"/>
  <c r="J625" i="2"/>
  <c r="J428" i="2"/>
  <c r="J289" i="2"/>
  <c r="J97" i="2"/>
  <c r="J730" i="2"/>
  <c r="J175" i="2"/>
  <c r="J211" i="2"/>
  <c r="J7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924CBB-FCC1-4518-9A76-13F1CEA20D80}" keepAlive="1" name="Consulta - BASE_INTEGRADOS" description="Conexão com a consulta 'BASE_INTEGRADOS' na pasta de trabalho." type="5" refreshedVersion="0" background="1">
    <dbPr connection="Provider=Microsoft.Mashup.OleDb.1;Data Source=$Workbook$;Location=BASE_INTEGRADOS;Extended Properties=&quot;&quot;" command="SELECT * FROM [BASE_INTEGRADOS]"/>
  </connection>
  <connection id="2" xr16:uid="{4DA67CDA-90CA-44F8-A69B-11D4516BC045}" keepAlive="1" name="Consulta - cte" description="Conexão com a consulta 'cte' na pasta de trabalho." type="5" refreshedVersion="8" background="1" saveData="1">
    <dbPr connection="Provider=Microsoft.Mashup.OleDb.1;Data Source=$Workbook$;Location=cte;Extended Properties=&quot;&quot;" command="SELECT * FROM [cte]"/>
  </connection>
  <connection id="3" xr16:uid="{0C9D082B-15C5-406C-B312-9D3A00B5B202}" keepAlive="1" name="Consulta - cte (2)" description="Conexão com a consulta 'cte (2)' na pasta de trabalho." type="5" refreshedVersion="8" background="1" saveData="1">
    <dbPr connection="Provider=Microsoft.Mashup.OleDb.1;Data Source=$Workbook$;Location=&quot;cte (2)&quot;;Extended Properties=&quot;&quot;" command="SELECT * FROM [cte (2)]"/>
  </connection>
  <connection id="4" xr16:uid="{D5897073-98FC-48DC-AB90-249A079346BF}" keepAlive="1" name="Consulta - DISTÂNCIA" description="Conexão com a consulta 'DISTÂNCIA' na pasta de trabalho." type="5" refreshedVersion="8" background="1" saveData="1">
    <dbPr connection="Provider=Microsoft.Mashup.OleDb.1;Data Source=$Workbook$;Location=DISTÂNCIA;Extended Properties=&quot;&quot;" command="SELECT * FROM [DISTÂNCIA]"/>
  </connection>
  <connection id="5" xr16:uid="{EDF0B072-DAD3-404D-AFEF-CCADB7CFBAB3}" keepAlive="1" name="Consulta - DISTÂNCIA (2)" description="Conexão com a consulta 'DISTÂNCIA (2)' na pasta de trabalho." type="5" refreshedVersion="8" background="1" saveData="1">
    <dbPr connection="Provider=Microsoft.Mashup.OleDb.1;Data Source=$Workbook$;Location=&quot;DISTÂNCIA (2)&quot;;Extended Properties=&quot;&quot;" command="SELECT * FROM [DISTÂNCIA (2)]"/>
  </connection>
  <connection id="6" xr16:uid="{66BD8C9F-3FAE-4E33-8D5F-7630E4F6C284}" keepAlive="1" name="Consulta - DISTÂNCIA1" description="Conexão com a consulta 'DISTÂNCIA1' na pasta de trabalho." type="5" refreshedVersion="0" background="1">
    <dbPr connection="Provider=Microsoft.Mashup.OleDb.1;Data Source=$Workbook$;Location=DISTÂNCIA1;Extended Properties=&quot;&quot;" command="SELECT * FROM [DISTÂNCIA1]"/>
  </connection>
  <connection id="7" xr16:uid="{9BF701D0-0A01-4709-9B01-61F2E8939C8F}" keepAlive="1" name="Consulta - TAB_INTEGRADOS" description="Conexão com a consulta 'TAB_INTEGRADOS' na pasta de trabalho." type="5" refreshedVersion="0" background="1">
    <dbPr connection="Provider=Microsoft.Mashup.OleDb.1;Data Source=$Workbook$;Location=TAB_INTEGRADOS;Extended Properties=&quot;&quot;" command="SELECT * FROM [TAB_INTEGRADOS]"/>
  </connection>
  <connection id="8" xr16:uid="{F20293F9-BD8A-48C8-90BC-66811188FD4C}" keepAlive="1" name="Consulta - Tabela 1" description="Conexão com a consulta 'Tabela 1' na pasta de trabalho." type="5" refreshedVersion="8" background="1" saveData="1">
    <dbPr connection="Provider=Microsoft.Mashup.OleDb.1;Data Source=$Workbook$;Location=&quot;Tabela 1&quot;;Extended Properties=&quot;&quot;" command="SELECT * FROM [Tabela 1]"/>
  </connection>
</connections>
</file>

<file path=xl/sharedStrings.xml><?xml version="1.0" encoding="utf-8"?>
<sst xmlns="http://schemas.openxmlformats.org/spreadsheetml/2006/main" count="4435" uniqueCount="1654">
  <si>
    <t>CLIFFOR</t>
  </si>
  <si>
    <t>PRODUTOR</t>
  </si>
  <si>
    <t>AVIÁRIO</t>
  </si>
  <si>
    <t>PRODUTOR TESTE</t>
  </si>
  <si>
    <t>MUNICÍPIO</t>
  </si>
  <si>
    <t>KM</t>
  </si>
  <si>
    <t>DISTÂNCIA</t>
  </si>
  <si>
    <t>COORDENADAS</t>
  </si>
  <si>
    <t>EMPRESA</t>
  </si>
  <si>
    <t>KM PARA PAGAMENTO DOS FRETES</t>
  </si>
  <si>
    <t>ABEL ANGELO DA COSTA CONCEICAO</t>
  </si>
  <si>
    <t xml:space="preserve"> A1</t>
  </si>
  <si>
    <t>ABEL ANGELO DA COSTA CONCEICAO  A1</t>
  </si>
  <si>
    <t>CASCAVEL</t>
  </si>
  <si>
    <t>-25.074721958480097, -53.40203649347913</t>
  </si>
  <si>
    <t>PLUMA</t>
  </si>
  <si>
    <t>IVANIR GIRELLI</t>
  </si>
  <si>
    <t>IVANIR GIRELLI  A1</t>
  </si>
  <si>
    <t>SANTO ANTÔNIO DO SUDOESTE</t>
  </si>
  <si>
    <t>-26.055538226278127, -53.6066631357838</t>
  </si>
  <si>
    <t>PLUSVAL</t>
  </si>
  <si>
    <t>ADAIR JOSE DELAMURA</t>
  </si>
  <si>
    <t>ADAIR JOSE DELAMURA  A1</t>
  </si>
  <si>
    <t>TUPASSI</t>
  </si>
  <si>
    <t>-24.621722060057024, -53.471299863665145</t>
  </si>
  <si>
    <t xml:space="preserve"> A2</t>
  </si>
  <si>
    <t>IVANIR GIRELLI  A2</t>
  </si>
  <si>
    <t>-26.055174366832272, -53.60674597310789</t>
  </si>
  <si>
    <t>ADAO RICARDO DOS SANTOS</t>
  </si>
  <si>
    <t>ADAO RICARDO DOS SANTOS  A1</t>
  </si>
  <si>
    <t>TRÊS BARRAS DO PARANÁ</t>
  </si>
  <si>
    <t>-25.533910195126577, -53.253383608219075</t>
  </si>
  <si>
    <t>MOACIR JOSE MORASKI</t>
  </si>
  <si>
    <t xml:space="preserve"> A3</t>
  </si>
  <si>
    <t>MOACIR JOSE MORASKI  A3</t>
  </si>
  <si>
    <t>PRANCHITA</t>
  </si>
  <si>
    <t>-25.92823759413807, -53.69998684562199</t>
  </si>
  <si>
    <t>ADELAR GEBAUER</t>
  </si>
  <si>
    <t>ADELAR GEBAUER  A2</t>
  </si>
  <si>
    <t>CAPANEMA</t>
  </si>
  <si>
    <t>-25.593268645824793, -53.94207083135666</t>
  </si>
  <si>
    <t>IARA MARIA SIGNOR LAZAROTO</t>
  </si>
  <si>
    <t>IARA MARIA SIGNOR LAZAROTO  A1</t>
  </si>
  <si>
    <t>-26.039811028436684, -53.574678615911814</t>
  </si>
  <si>
    <t>ADELAR GEBAUER  A1</t>
  </si>
  <si>
    <t>-25.59318530178808, -53.941644050123806</t>
  </si>
  <si>
    <t>IARA MARIA SIGNOR LAZAROTO  A2</t>
  </si>
  <si>
    <t>-26.039668902296437, -53.57499849568053</t>
  </si>
  <si>
    <t>ADELAR LUIZ STURMER</t>
  </si>
  <si>
    <t>ADELAR LUIZ STURMER  A1</t>
  </si>
  <si>
    <t>-25.136017091410526, -53.337952095655254</t>
  </si>
  <si>
    <t>IARA MARIA SIGNOR LAZAROTO  A3</t>
  </si>
  <si>
    <t>-26.039421760964533, -53.574761886273365</t>
  </si>
  <si>
    <t>ADELAR LUIZ STURMER  A2</t>
  </si>
  <si>
    <t>MARCELO ANDRE MORASKI</t>
  </si>
  <si>
    <t>MARCELO ANDRE MORASKI  A2</t>
  </si>
  <si>
    <t>-25.926480869799548, -53.69992827923537</t>
  </si>
  <si>
    <t>ADEMAR CATANEO</t>
  </si>
  <si>
    <t>ADEMAR CATANEO  A2</t>
  </si>
  <si>
    <t>PLANALTO</t>
  </si>
  <si>
    <t>-25.694393483016047, -53.75259511713106</t>
  </si>
  <si>
    <t>MARCELO ANDRE MORASKI  A3</t>
  </si>
  <si>
    <t>-25.92683190038867, -53.69982722354563</t>
  </si>
  <si>
    <t>ADEMAR CATANEO  A1</t>
  </si>
  <si>
    <t>-25.694176655495294, -53.75267250689239</t>
  </si>
  <si>
    <t xml:space="preserve"> A5</t>
  </si>
  <si>
    <t>MARCELO ANDRE MORASKI  A5</t>
  </si>
  <si>
    <t>-25.92733164692144, -53.6998123595516</t>
  </si>
  <si>
    <t>ADEMAR MARLOW</t>
  </si>
  <si>
    <t>ADEMAR MARLOW  A1</t>
  </si>
  <si>
    <t>NOVA SANTA ROSA</t>
  </si>
  <si>
    <t>-24.479373847414386, -53.93979500307804</t>
  </si>
  <si>
    <t xml:space="preserve"> A4</t>
  </si>
  <si>
    <t>MARCELO ANDRE MORASKI  A4</t>
  </si>
  <si>
    <t>-25.927554076398682, -53.70008803118339</t>
  </si>
  <si>
    <t>ADEMIR FREI</t>
  </si>
  <si>
    <t>ADEMIR FREI  A1</t>
  </si>
  <si>
    <t>-25.689940839555494, -53.80758942916755</t>
  </si>
  <si>
    <t>MOACIR JOSE MORASKI  A1</t>
  </si>
  <si>
    <t>-25.92861810379909, -53.69981319587926</t>
  </si>
  <si>
    <t>ADEMIR WUST RIBAS</t>
  </si>
  <si>
    <t>ADEMIR WUST RIBAS  A1</t>
  </si>
  <si>
    <t>-25.78881633498468, -53.69069004429982</t>
  </si>
  <si>
    <t>MOACIR JOSE MORASKI  A2</t>
  </si>
  <si>
    <t>-25.928493745536155, -53.699927347731915</t>
  </si>
  <si>
    <t>ADEMIR WUST RIBAS  A2</t>
  </si>
  <si>
    <t>PAULO ROGERIO GARDIN</t>
  </si>
  <si>
    <t>PAULO ROGERIO GARDIN  A3</t>
  </si>
  <si>
    <t>-25.92972354897481, -53.69753701022398</t>
  </si>
  <si>
    <t>ADENILSON ANTONIO CHIAMOLERA</t>
  </si>
  <si>
    <t>ADENILSON ANTONIO CHIAMOLERA  A1</t>
  </si>
  <si>
    <t>-25.651485109884543, -53.8531844849721</t>
  </si>
  <si>
    <t>PAULO ROGERIO GARDIN  A2</t>
  </si>
  <si>
    <t>-25.92981669006967, -53.69788504124083</t>
  </si>
  <si>
    <t>ADILSON RINALDI FONTANELA</t>
  </si>
  <si>
    <t>ADILSON RINALDI FONTANELA  A1</t>
  </si>
  <si>
    <t>BOA VISTA DA APARECIDA</t>
  </si>
  <si>
    <t>-25.422008080102742, -53.47072238313202</t>
  </si>
  <si>
    <t>PAULO ROGERIO GARDIN  A1</t>
  </si>
  <si>
    <t>-25.93020283116314, -53.698125899981626</t>
  </si>
  <si>
    <t>ADRIAN GABRIEL KIELING</t>
  </si>
  <si>
    <t>ADRIAN GABRIEL KIELING  A1</t>
  </si>
  <si>
    <t>-25.619332014627005, -53.706015228419936</t>
  </si>
  <si>
    <t>ODIVAL PEREIRA</t>
  </si>
  <si>
    <t>ODIVAL PEREIRA  A1</t>
  </si>
  <si>
    <t>-26.070705337223526, -53.57487829842561</t>
  </si>
  <si>
    <t>ADRIANA DIEDRICHS</t>
  </si>
  <si>
    <t>ADRIANA DIEDRICHS  A4</t>
  </si>
  <si>
    <t>TOLEDO</t>
  </si>
  <si>
    <t>-24.571808297265253, -53.80042513015339</t>
  </si>
  <si>
    <t>ALEXANDRE DAVI MARAN</t>
  </si>
  <si>
    <t>ALEXANDRE DAVI MARAN  A1</t>
  </si>
  <si>
    <t>-26.06451486476763, -53.60680502528411</t>
  </si>
  <si>
    <t>ADRIANA DIEDRICHS  A3</t>
  </si>
  <si>
    <t>PAULO RODRIGUES DOS SANTOS</t>
  </si>
  <si>
    <t>PAULO RODRIGUES DOS SANTOS  A1</t>
  </si>
  <si>
    <t>-25.964879803095187, -53.61283319118804</t>
  </si>
  <si>
    <t>ADRIANO AHMANN</t>
  </si>
  <si>
    <t>ADRIANO AHMANN  A1</t>
  </si>
  <si>
    <t>-25.594807671063716, -53.92156907664948</t>
  </si>
  <si>
    <t>ELTON HOFF</t>
  </si>
  <si>
    <t>ELTON HOFF  A1</t>
  </si>
  <si>
    <t>-26.06882912019864, -53.564553403097115</t>
  </si>
  <si>
    <t>ADRIANO LAZZAROTO</t>
  </si>
  <si>
    <t>ADRIANO LAZZAROTO  A1</t>
  </si>
  <si>
    <t>-26.10612896666298, -53.69777271419382</t>
  </si>
  <si>
    <t>TANIA MARIA TOFFOLI BALESTRIN</t>
  </si>
  <si>
    <t>TANIA MARIA TOFFOLI BALESTRIN  A1</t>
  </si>
  <si>
    <t>-26.023494493050134, -53.627973778965696</t>
  </si>
  <si>
    <t>ADRIANO LUCAS BRIXNER</t>
  </si>
  <si>
    <t>ADRIANO LUCAS BRIXNER  A2</t>
  </si>
  <si>
    <t>-24.5610192645159, -53.50315900044176</t>
  </si>
  <si>
    <t>TANIA MARIA TOFFOLI BALESTRIN  A2</t>
  </si>
  <si>
    <t>-26.023938327883517, -53.6278658593625</t>
  </si>
  <si>
    <t>ADRIANO LUCAS BRIXNER  A1</t>
  </si>
  <si>
    <t>CLAUDECIR ROBERTI</t>
  </si>
  <si>
    <t>CLAUDECIR ROBERTI  A2</t>
  </si>
  <si>
    <t>-26.03219041572988, -53.66183201156584</t>
  </si>
  <si>
    <t>ADRIANO ROBERTO FUHR DREY</t>
  </si>
  <si>
    <t>ADRIANO ROBERTO FUHR DREY  A1</t>
  </si>
  <si>
    <t>-25.71447627307871, -53.7390284849861</t>
  </si>
  <si>
    <t>CLAUDECIR ROBERTI  A3</t>
  </si>
  <si>
    <t>-26.031443923633542, -53.662295067079015</t>
  </si>
  <si>
    <t>ADRIANO CESAR BILIBIO</t>
  </si>
  <si>
    <t>ADRIANO CESAR BILIBIO  A1</t>
  </si>
  <si>
    <t>CAPITÃO LEÔNIDAS MARQUES</t>
  </si>
  <si>
    <t>-25.49322778288772, -53.59177741995077</t>
  </si>
  <si>
    <t>CLAUDECIR ROBERTI  A4</t>
  </si>
  <si>
    <t>-26.031023464841937, -53.66248887591358</t>
  </si>
  <si>
    <t>AILTON LUIZ SCHNEIDER</t>
  </si>
  <si>
    <t>AILTON LUIZ SCHNEIDER  A1</t>
  </si>
  <si>
    <t>-25.577107300033777, -53.933642280939914</t>
  </si>
  <si>
    <t>CLAUDECIR ROBERTI  A1</t>
  </si>
  <si>
    <t>-26.032467309664288, -53.661463613537336</t>
  </si>
  <si>
    <t>AIRTON FABIANO WIECZOREK</t>
  </si>
  <si>
    <t>AIRTON FABIANO WIECZOREK  A1</t>
  </si>
  <si>
    <t>-25.68616111896547, -53.83423792898234</t>
  </si>
  <si>
    <t>VILMAR FRANCISCO DAL BO JUNIOR</t>
  </si>
  <si>
    <t xml:space="preserve"> A8</t>
  </si>
  <si>
    <t>VILMAR FRANCISCO DAL BO JUNIOR  A8</t>
  </si>
  <si>
    <t>-25.966128567282656, -53.78185010276882</t>
  </si>
  <si>
    <t>AIRTON FABIANO WIECZOREK  A2</t>
  </si>
  <si>
    <t>-25.686049325389867, -53.833883653734475</t>
  </si>
  <si>
    <t>A10</t>
  </si>
  <si>
    <t>VILMAR FRANCISCO DAL BO JUNIOR A10</t>
  </si>
  <si>
    <t>ALCEU JOAO SAUSEN</t>
  </si>
  <si>
    <t>ALCEU JOAO SAUSEN  A2</t>
  </si>
  <si>
    <t>QUATRO PONTES</t>
  </si>
  <si>
    <t>-24.54802108685681, -53.96154751426624</t>
  </si>
  <si>
    <t xml:space="preserve"> A9</t>
  </si>
  <si>
    <t>VILMAR FRANCISCO DAL BO JUNIOR  A9</t>
  </si>
  <si>
    <t>ALCEU JOAO SAUSEN  A1</t>
  </si>
  <si>
    <t>MARCO AURELIO TEOLOGIDES MARCON</t>
  </si>
  <si>
    <t>MARCO AURELIO TEOLOGIDES MARCON  A1</t>
  </si>
  <si>
    <t>-25.964207998728106, -53.68696912224942</t>
  </si>
  <si>
    <t>ALBANY JESSE SCHAIDT</t>
  </si>
  <si>
    <t>ALBANY JESSE SCHAIDT  A1</t>
  </si>
  <si>
    <t>LINDOESTE</t>
  </si>
  <si>
    <t>-25.191553411002136, -53.574568685964294</t>
  </si>
  <si>
    <t>MARCO AURELIO TEOLOGIDES MARCON  A2</t>
  </si>
  <si>
    <t>-25.964302150062316, -53.68736623909972</t>
  </si>
  <si>
    <t>ALBANY JESSE SCHAIDT  A2</t>
  </si>
  <si>
    <t>MARCO AURELIO TEOLOGIDES MARCON  A3</t>
  </si>
  <si>
    <t>-25.964432630102436, -53.68760052309158</t>
  </si>
  <si>
    <t>ALCIDES BRAGAGNOLLO</t>
  </si>
  <si>
    <t>ALCIDES BRAGAGNOLLO  A1</t>
  </si>
  <si>
    <t>-24.574109727129024, -53.80988713797703</t>
  </si>
  <si>
    <t>MARCO AURELIO TEOLOGIDES MARCON  A4</t>
  </si>
  <si>
    <t>EDER THEODORO</t>
  </si>
  <si>
    <t>EDER THEODORO  A2</t>
  </si>
  <si>
    <t>-25.69219055737269, -53.73129892089923</t>
  </si>
  <si>
    <t>ALTAMIR GOMES</t>
  </si>
  <si>
    <t>ALTAMIR GOMES  A2</t>
  </si>
  <si>
    <t>-24.91526095888856, -53.361577464670766</t>
  </si>
  <si>
    <t>CLEIDSON ALBERTO PILATTI</t>
  </si>
  <si>
    <t>CLEIDSON ALBERTO PILATTI  A2</t>
  </si>
  <si>
    <t>PÉROLA DO OESTE</t>
  </si>
  <si>
    <t>-25.92536638415823, -53.748992089128315</t>
  </si>
  <si>
    <t>ALTAMIR GOMES  A1</t>
  </si>
  <si>
    <t>CLEIDSON ALBERTO PILATTI  A3</t>
  </si>
  <si>
    <t>-25.92565315617464, -53.74886564398854</t>
  </si>
  <si>
    <t>ALVARO LAURI ROLL</t>
  </si>
  <si>
    <t>ALVARO LAURI ROLL  A2</t>
  </si>
  <si>
    <t>BELA VISTA DA CAROBA</t>
  </si>
  <si>
    <t>-25.886617975585715, -53.7002889110158</t>
  </si>
  <si>
    <t>CLEIDSON ALBERTO PILATTI  A4</t>
  </si>
  <si>
    <t>-25.926059429356382, -53.74902132235175</t>
  </si>
  <si>
    <t>ALVARO LAURI ROLL  A1</t>
  </si>
  <si>
    <t>-25.88734914915246, -53.70001444418616</t>
  </si>
  <si>
    <t>CLEIDSON ALBERTO PILATTI  A5</t>
  </si>
  <si>
    <t>-25.92633238547959, -53.74885473587697</t>
  </si>
  <si>
    <t>ANA CRISTIANE DIEDRICHS DINIS</t>
  </si>
  <si>
    <t>ANA CRISTIANE DIEDRICHS DINIS  A1</t>
  </si>
  <si>
    <t>-24.519552925061227, -53.97647651344891</t>
  </si>
  <si>
    <t xml:space="preserve"> A6</t>
  </si>
  <si>
    <t>CLEIDSON ALBERTO PILATTI  A6</t>
  </si>
  <si>
    <t>-25.92660855257646, -53.748664416326044</t>
  </si>
  <si>
    <t>ANA LUCIA TALINI</t>
  </si>
  <si>
    <t>ANA LUCIA TALINI  A1</t>
  </si>
  <si>
    <t>-25.314320579099626, -53.38906583967166</t>
  </si>
  <si>
    <t>CLEIDSON ALBERTO PILATTI  A1</t>
  </si>
  <si>
    <t>-25.925163801546688, -53.74904901756922</t>
  </si>
  <si>
    <t>ANA LUCIA TALINI A10</t>
  </si>
  <si>
    <t>-25.31198945304051, -53.38985534889461</t>
  </si>
  <si>
    <t>DERLI GUILHERME SEIBEL</t>
  </si>
  <si>
    <t>DERLI GUILHERME SEIBEL  A1</t>
  </si>
  <si>
    <t>-25.58797676636021, -53.934200724458535</t>
  </si>
  <si>
    <t>ANA LUCIA TALINI  A2</t>
  </si>
  <si>
    <t>-25.31406615392453, -53.38909035859413</t>
  </si>
  <si>
    <t>DILSON SEIBEL</t>
  </si>
  <si>
    <t>DILSON SEIBEL  A1</t>
  </si>
  <si>
    <t>-25.599208428572283, -53.933827445814316</t>
  </si>
  <si>
    <t>ANA LUCIA TALINI  A3</t>
  </si>
  <si>
    <t>-25.31378409699039, -53.38918217890217</t>
  </si>
  <si>
    <t>DILSON SEIBEL  A2</t>
  </si>
  <si>
    <t>-25.599466003382215, -53.93389532328513</t>
  </si>
  <si>
    <t>DILSON SEIBEL  A3</t>
  </si>
  <si>
    <t>ANA LUCIA TALINI  A4</t>
  </si>
  <si>
    <t>-25.313530155413755, -53.38926090148416</t>
  </si>
  <si>
    <t>SADI ANTONIO FOIATO</t>
  </si>
  <si>
    <t>SADI ANTONIO FOIATO  A1</t>
  </si>
  <si>
    <t>-25.816180832085458, -53.81385400077125</t>
  </si>
  <si>
    <t>A11</t>
  </si>
  <si>
    <t>ANA LUCIA TALINI A11</t>
  </si>
  <si>
    <t>-25.311746360739345, -53.38996112052873</t>
  </si>
  <si>
    <t>PAULO CEZAR COLLE</t>
  </si>
  <si>
    <t>PAULO CEZAR COLLE  A2</t>
  </si>
  <si>
    <t>BARRACÃO</t>
  </si>
  <si>
    <t>-26.233179707405906, -53.59140372746219</t>
  </si>
  <si>
    <t>ANA LUCIA TALINI  A6</t>
  </si>
  <si>
    <t>-25.31300323086448, -53.38937552104151</t>
  </si>
  <si>
    <t>PAULO CEZAR COLLE  A1</t>
  </si>
  <si>
    <t>-26.232838955996733, -53.59126495771729</t>
  </si>
  <si>
    <t xml:space="preserve"> A7</t>
  </si>
  <si>
    <t>ANA LUCIA TALINI  A7</t>
  </si>
  <si>
    <t>-25.31274602908817, -53.389472804780155</t>
  </si>
  <si>
    <t>NILSON JOSE DE SOUZA</t>
  </si>
  <si>
    <t>NILSON JOSE DE SOUZA  A1</t>
  </si>
  <si>
    <t>-25.524326444609997, -53.223494833292854</t>
  </si>
  <si>
    <t>ANA LUCIA TALINI  A8</t>
  </si>
  <si>
    <t>-25.31248129935384, -53.389576751560526</t>
  </si>
  <si>
    <t>NILSON JOSE DE SOUZA  A2</t>
  </si>
  <si>
    <t>-25.524780494008667, -53.22362955667374</t>
  </si>
  <si>
    <t>ANA LUCIA TALINI  A9</t>
  </si>
  <si>
    <t>-25.312273972997, -53.38980572946797</t>
  </si>
  <si>
    <t>VILMAR REUS ALBANO</t>
  </si>
  <si>
    <t>VILMAR REUS ALBANO  A2</t>
  </si>
  <si>
    <t>-25.587513741391152, -53.95364403672311</t>
  </si>
  <si>
    <t>ANA LUCIA TALINI  A5</t>
  </si>
  <si>
    <t>-25.313258872067077, -53.38928487196756</t>
  </si>
  <si>
    <t>VILMAR REUS ALBANO  A1</t>
  </si>
  <si>
    <t>-25.587192215014216, -53.95375886135962</t>
  </si>
  <si>
    <t>ANABEL LUCI BARBACOVI</t>
  </si>
  <si>
    <t>ANABEL LUCI BARBACOVI  A2</t>
  </si>
  <si>
    <t>SANTA HELENA</t>
  </si>
  <si>
    <t>-24.97098680256587, -54.202101842438715</t>
  </si>
  <si>
    <t>MARCIO OWSIANY</t>
  </si>
  <si>
    <t>A1</t>
  </si>
  <si>
    <t>MARCIO OWSIANY A1</t>
  </si>
  <si>
    <t>-24.84174, -53.44211</t>
  </si>
  <si>
    <t>ANABEL LUCI BARBACOVI  A1</t>
  </si>
  <si>
    <t>A2</t>
  </si>
  <si>
    <t>MARCIO OWSIANY A2</t>
  </si>
  <si>
    <t>ANDERSON ANDRE MINUSSI</t>
  </si>
  <si>
    <t>ANDERSON ANDRE MINUSSI  A1</t>
  </si>
  <si>
    <t>-24.68047142847985, -53.68355875112477</t>
  </si>
  <si>
    <t>ARLEI HERDMANN</t>
  </si>
  <si>
    <t>ARLEI HERDMANN A1</t>
  </si>
  <si>
    <t>BOM JESUS DO SUL</t>
  </si>
  <si>
    <t>-26.183782253411167, -53.65827493409065</t>
  </si>
  <si>
    <t>ANDERSON WEBER</t>
  </si>
  <si>
    <t>ANDERSON WEBER  A2</t>
  </si>
  <si>
    <t>-24.554786977643598, -53.86379535337196</t>
  </si>
  <si>
    <t>GILVAN ANTONIO ZINI</t>
  </si>
  <si>
    <t>GILVAN ANTONIO ZINI  A1</t>
  </si>
  <si>
    <t>-25.64414588070446, -53.833373177822295</t>
  </si>
  <si>
    <t>ANDERSON WEBER  A1</t>
  </si>
  <si>
    <t>LORI RODRIGUES</t>
  </si>
  <si>
    <t>LORI RODRIGUES  A1</t>
  </si>
  <si>
    <t>-25.846020689371414, -53.740390563779464</t>
  </si>
  <si>
    <t>ANDRE CARLO VIEL</t>
  </si>
  <si>
    <t>ANDRE CARLO VIEL  A3</t>
  </si>
  <si>
    <t>-25.00914581637191, -53.21495819042678</t>
  </si>
  <si>
    <t>DIRCEU VIDAL FARIAS</t>
  </si>
  <si>
    <t>DIRCEU VIDAL FARIAS A1</t>
  </si>
  <si>
    <t>-24.74950514633626, -53.50081223556377</t>
  </si>
  <si>
    <t>ANDRE CARLO VIEL  A2</t>
  </si>
  <si>
    <t>NELSON HEIN</t>
  </si>
  <si>
    <t>NELSON HEIN  A1</t>
  </si>
  <si>
    <t>-25.84583479682266, -53.718423009803104</t>
  </si>
  <si>
    <t>ANDRE CARLO VIEL  A1</t>
  </si>
  <si>
    <t>OSNI MOCELIN</t>
  </si>
  <si>
    <t>OSNI MOCELIN  A1</t>
  </si>
  <si>
    <t>-25.54470356559033, -53.22555458639651</t>
  </si>
  <si>
    <t>ANDERSON DIEDRICHS</t>
  </si>
  <si>
    <t>ANDERSON DIEDRICHS  A2</t>
  </si>
  <si>
    <t>ANTONIO CANDIDO</t>
  </si>
  <si>
    <t>ANTONIO CANDIDO  A1</t>
  </si>
  <si>
    <t>-25.807064210493504, -53.730001971234806</t>
  </si>
  <si>
    <t>ANDERSON DIEDRICHS  A1</t>
  </si>
  <si>
    <t>EDUARDO DE SOUZA RIBEIRO</t>
  </si>
  <si>
    <t>EDUARDO DE SOUZA RIBEIRO  A1</t>
  </si>
  <si>
    <t>-24.594305871540463, -53.48649502803056</t>
  </si>
  <si>
    <t>ANDRE CHARLES EBERT</t>
  </si>
  <si>
    <t>ANDRE CHARLES EBERT  A1</t>
  </si>
  <si>
    <t>-25.58523056979519, -53.92325970183971</t>
  </si>
  <si>
    <t>EDUARDO DE SOUZA RIBEIRO  A2</t>
  </si>
  <si>
    <t>ANDRE LUIZ AHMANN</t>
  </si>
  <si>
    <t>ANDRE LUIZ AHMANN  A1</t>
  </si>
  <si>
    <t>EDUARDO DE SOUZA RIBEIRO  A3</t>
  </si>
  <si>
    <t>ANDRESSA MAIARA ZUANAZZI</t>
  </si>
  <si>
    <t>ANDRESSA MAIARA ZUANAZZI  A1</t>
  </si>
  <si>
    <t>-24.487517005365056, -53.95394149889763</t>
  </si>
  <si>
    <t>ELENIR IZALETE KEIBER DE OLIVEIRA</t>
  </si>
  <si>
    <t>ELENIR IZALETE KEIBER DE OLIVEIRA  A1</t>
  </si>
  <si>
    <t>-25.652866012799297, -53.70276037825448</t>
  </si>
  <si>
    <t>ANDRESSA MAIARA ZUANAZZI  A2</t>
  </si>
  <si>
    <t>EVE CARLA DAL BO</t>
  </si>
  <si>
    <t>EVE CARLA DAL BO  A6</t>
  </si>
  <si>
    <t>-26.007792457062042, -53.75468638742391</t>
  </si>
  <si>
    <t>ANDRESSA MAIARA ZUANAZZI  A3</t>
  </si>
  <si>
    <t>EVE CARLA DAL BO  A4</t>
  </si>
  <si>
    <t>-26.008041596780053, -53.7528671644217</t>
  </si>
  <si>
    <t>ANDROW KELVIN GEBAUER</t>
  </si>
  <si>
    <t>ANDROW KELVIN GEBAUER  A2</t>
  </si>
  <si>
    <t>-25.59323547465107, -53.941571572164136</t>
  </si>
  <si>
    <t>EVE CARLA DAL BO  A3</t>
  </si>
  <si>
    <t>-26.008435622710966, -53.75277192531681</t>
  </si>
  <si>
    <t>ANDROW KELVIN GEBAUER  A1</t>
  </si>
  <si>
    <t>-25.593299497427857, -53.94135945969881</t>
  </si>
  <si>
    <t>EVE CARLA DAL BO  A2</t>
  </si>
  <si>
    <t>-26.008656018031783, -53.75268736193759</t>
  </si>
  <si>
    <t>EVE CARLA DAL BO  A1</t>
  </si>
  <si>
    <t>-26.00887881752897, -53.752595054827495</t>
  </si>
  <si>
    <t>ANTONIO FERNANDES DE OLIVEIRA</t>
  </si>
  <si>
    <t>ANTONIO FERNANDES DE OLIVEIRA  A1</t>
  </si>
  <si>
    <t>-24.782105339991645, -53.69295622841061</t>
  </si>
  <si>
    <t>EVE CARLA DAL BO  A5</t>
  </si>
  <si>
    <t>-26.007799577739707, -53.75296914543064</t>
  </si>
  <si>
    <t>ARDENICO DALL ALBA</t>
  </si>
  <si>
    <t>ARDENICO DALL ALBA  A1</t>
  </si>
  <si>
    <t>-25.581129028463632, -53.7563468957084</t>
  </si>
  <si>
    <t>LAIRSON THEISEN</t>
  </si>
  <si>
    <t>LAIRSON THEISEN  A1</t>
  </si>
  <si>
    <t>-25.64425993851372, -53.792888978795055</t>
  </si>
  <si>
    <t>ARNO SCHMIDT</t>
  </si>
  <si>
    <t>ARNO SCHMIDT  A1</t>
  </si>
  <si>
    <t>-24.63576177537854, -53.76137276810336</t>
  </si>
  <si>
    <t>LAIRSON THEISEN  A2</t>
  </si>
  <si>
    <t>-25.643644798716114, -53.793073272905374</t>
  </si>
  <si>
    <t>ARNO SCHMIDT  A2</t>
  </si>
  <si>
    <t>LIANE EBERT</t>
  </si>
  <si>
    <t>LIANE EBERT  A1</t>
  </si>
  <si>
    <t>-25.584995722848536, -53.923290690553515</t>
  </si>
  <si>
    <t>ARNO SCHMIDT  A3</t>
  </si>
  <si>
    <t>LIRIO BAYERLE</t>
  </si>
  <si>
    <t>LIRIO BAYERLE  A1</t>
  </si>
  <si>
    <t>-25.646739479067357, -53.86281875421674</t>
  </si>
  <si>
    <t>ARTUR FERLER</t>
  </si>
  <si>
    <t>ARTUR FERLER  A1</t>
  </si>
  <si>
    <t>-24.45461054926429, -53.94335169004812</t>
  </si>
  <si>
    <t>VANDERLEI RESENER</t>
  </si>
  <si>
    <t>VANDERLEI RESENER  A1</t>
  </si>
  <si>
    <t>-25.603685516608106, -53.84866707619514</t>
  </si>
  <si>
    <t>ARTUR FERLER  A2</t>
  </si>
  <si>
    <t>VANDERLEI RESENER  A2</t>
  </si>
  <si>
    <t>-25.603125893064497, -53.84873171795286</t>
  </si>
  <si>
    <t>BENO BATSCHKE</t>
  </si>
  <si>
    <t>BENO BATSCHKE  A1</t>
  </si>
  <si>
    <t>-24.51306423229617, -53.8323360532851</t>
  </si>
  <si>
    <t>MOACIR SCATOLIN</t>
  </si>
  <si>
    <t>MOACIR SCATOLIN  A2</t>
  </si>
  <si>
    <t>SANTA IZABEL DO OESTE</t>
  </si>
  <si>
    <t>-25.792094924955926, -53.40604259044678</t>
  </si>
  <si>
    <t>BENO BATSCHKE  A2</t>
  </si>
  <si>
    <t>MOACIR SCATOLIN  A1</t>
  </si>
  <si>
    <t>BRUNO GABRIEL CEMBRANI</t>
  </si>
  <si>
    <t>BRUNO GABRIEL CEMBRANI  A1</t>
  </si>
  <si>
    <t>-25.641006733157436, -53.764392667041434</t>
  </si>
  <si>
    <t>MOACIR SCATOLIN  A3</t>
  </si>
  <si>
    <t>CARLOS ALBERTO MAROCHIO</t>
  </si>
  <si>
    <t>CARLOS ALBERTO MAROCHIO  A1</t>
  </si>
  <si>
    <t>ASSIS CHATEAUBRIAND</t>
  </si>
  <si>
    <t>-24.579916573984892, -53.566428807979925</t>
  </si>
  <si>
    <t>LUCAS ANDRE RESENER</t>
  </si>
  <si>
    <t>LUCAS ANDRE RESENER  A1</t>
  </si>
  <si>
    <t>-25.612504912263528, -53.84427535755284</t>
  </si>
  <si>
    <t>CARLOS ALBERTO MAROCHIO  A2</t>
  </si>
  <si>
    <t>CRISTIANE RITA ADAMCZUK DOS SANTOS</t>
  </si>
  <si>
    <t>CRISTIANE RITA ADAMCZUK DOS SANTOS  A1</t>
  </si>
  <si>
    <t>OURO VERDE DO OESTE</t>
  </si>
  <si>
    <t>-24.767613471189787, -53.880642793722586</t>
  </si>
  <si>
    <t>CRISTIANE RITA ADAMCZUK DOS SANTOS  A2</t>
  </si>
  <si>
    <t>BENTO LOFFI</t>
  </si>
  <si>
    <t>BENTO LOFFI  A2</t>
  </si>
  <si>
    <t>MERCEDES</t>
  </si>
  <si>
    <t>-24.430082548119863, -54.22977278753708</t>
  </si>
  <si>
    <t>CLARICE ROMAN</t>
  </si>
  <si>
    <t>CLARICE ROMAN  A1</t>
  </si>
  <si>
    <t>-25.651996744033593, -53.82169291032934</t>
  </si>
  <si>
    <t>BENTO LOFFI  A1</t>
  </si>
  <si>
    <t>CLARICE ROMAN  A2</t>
  </si>
  <si>
    <t>-25.65190966192737, -53.82227420172436</t>
  </si>
  <si>
    <t>BENTO LOFFI  A3</t>
  </si>
  <si>
    <t>CLARICE ROMAN  A3</t>
  </si>
  <si>
    <t>-25.65158915833561, -53.82237125333507</t>
  </si>
  <si>
    <t>CLAIRTON DAL PIVA</t>
  </si>
  <si>
    <t>CLAIRTON DAL PIVA  A1</t>
  </si>
  <si>
    <t>-25.684110498191224, -53.83815471404949</t>
  </si>
  <si>
    <t>CLEI JANIR ROSO</t>
  </si>
  <si>
    <t>CLEI JANIR ROSO  A1</t>
  </si>
  <si>
    <t>-25.650197937832246, -53.85738158780679</t>
  </si>
  <si>
    <t>CLAIRTON DAL PIVA  A2</t>
  </si>
  <si>
    <t>-25.684047549326277, -53.837521937590864</t>
  </si>
  <si>
    <t>DIRCEU HILARIO HANEL</t>
  </si>
  <si>
    <t>DIRCEU HILARIO HANEL  A1</t>
  </si>
  <si>
    <t>-25.473067104876538, -53.252133318022125</t>
  </si>
  <si>
    <t>CLAITON FELIPE SEIBERT</t>
  </si>
  <si>
    <t>CLAITON FELIPE SEIBERT  A1</t>
  </si>
  <si>
    <t>-24.60983899148955, -53.764909880555095</t>
  </si>
  <si>
    <t>EDENILSO ROSO</t>
  </si>
  <si>
    <t>EDENILSO ROSO  A1</t>
  </si>
  <si>
    <t>-25.65053834584691, -53.857108551779355</t>
  </si>
  <si>
    <t>CLARI FONTANELLA RAMOS</t>
  </si>
  <si>
    <t>CLARI FONTANELLA RAMOS  A2</t>
  </si>
  <si>
    <t>-26.044680417625138, -53.723389793462346</t>
  </si>
  <si>
    <t>EDUARDO MARTINELO DA ROSA</t>
  </si>
  <si>
    <t>EDUARDO MARTINELO DA ROSA  A1</t>
  </si>
  <si>
    <t>-25.604393533364387, -53.88970205892441</t>
  </si>
  <si>
    <t>CLARI FONTANELLA RAMOS  A1</t>
  </si>
  <si>
    <t>-26.04425202127099, -53.72359294832682</t>
  </si>
  <si>
    <t>EGUEMAR DA ROSA</t>
  </si>
  <si>
    <t>EGUEMAR DA ROSA  A1</t>
  </si>
  <si>
    <t>ENERCI FIORENTINO MAZURANA</t>
  </si>
  <si>
    <t>ENERCI FIORENTINO MAZURANA  A1</t>
  </si>
  <si>
    <t>-25.475583824391297, -53.18856834983464</t>
  </si>
  <si>
    <t>HELIO SALVALAGGIO</t>
  </si>
  <si>
    <t>HELIO SALVALAGGIO  A1</t>
  </si>
  <si>
    <t>-25.64974496520938, -53.84353177683423</t>
  </si>
  <si>
    <t>ITAMAR MONDINI</t>
  </si>
  <si>
    <t>ITAMAR MONDINI  A2</t>
  </si>
  <si>
    <t>-25.635734899179912, -53.72772385986069</t>
  </si>
  <si>
    <t>CLADIR LEVANDOSKI</t>
  </si>
  <si>
    <t>CLADIR LEVANDOSKI  A1</t>
  </si>
  <si>
    <t>-25.894523872288186, -53.672557840317154</t>
  </si>
  <si>
    <t>ITAMAR MONDINI  A1</t>
  </si>
  <si>
    <t>-25.63586664495126, -53.72798940485342</t>
  </si>
  <si>
    <t>JOAO VITOR FAVA</t>
  </si>
  <si>
    <t>JOAO VITOR FAVA  A1</t>
  </si>
  <si>
    <t>REALEZA</t>
  </si>
  <si>
    <t>-25.714850678898394, -53.54028065212261</t>
  </si>
  <si>
    <t>JORGE ITAMAR DA ROSA</t>
  </si>
  <si>
    <t>JORGE ITAMAR DA ROSA  A1</t>
  </si>
  <si>
    <t>JOSE CARLOS BALZAN</t>
  </si>
  <si>
    <t>JOSE CARLOS BALZAN  A2</t>
  </si>
  <si>
    <t>-25.573613305113437, -53.841272732842455</t>
  </si>
  <si>
    <t>JOSE CARLOS BALZAN  A1</t>
  </si>
  <si>
    <t>-25.57305026798479, -53.84118909883602</t>
  </si>
  <si>
    <t>CLAUDINO ROQUE LORENZATTO</t>
  </si>
  <si>
    <t>CLAUDINO ROQUE LORENZATTO  A1</t>
  </si>
  <si>
    <t>-24.481064928088458, -53.94014005847983</t>
  </si>
  <si>
    <t>JOSE CARLOS BALZAN  A3</t>
  </si>
  <si>
    <t>-25.573310665973352, -53.84219581605355</t>
  </si>
  <si>
    <t>CLAUDINO ROQUE LORENZATTO  A2</t>
  </si>
  <si>
    <t>JUSSARA MINSKI</t>
  </si>
  <si>
    <t>JUSSARA MINSKI  A1</t>
  </si>
  <si>
    <t>-25.639006491839936, -53.80980121109537</t>
  </si>
  <si>
    <t>CLAUDIO CEZAR HANEL</t>
  </si>
  <si>
    <t>CLAUDIO CEZAR HANEL  A1</t>
  </si>
  <si>
    <t>-25.52556470217281, -53.23544996767949</t>
  </si>
  <si>
    <t>JUSSARA MINSKI  A2</t>
  </si>
  <si>
    <t>-25.638737753122783, -53.809644386325196</t>
  </si>
  <si>
    <t>CLAUDIO CEZAR HANEL  A2</t>
  </si>
  <si>
    <t>-25.52598432019218, -53.23555393182836</t>
  </si>
  <si>
    <t>LUIZ CARLOS MORSCH</t>
  </si>
  <si>
    <t>LUIZ CARLOS MORSCH  A1</t>
  </si>
  <si>
    <t>-25.494112050266992, -53.567477586431416</t>
  </si>
  <si>
    <t>CLAUDIO CEZAR HANEL  A3</t>
  </si>
  <si>
    <t>-25.52614896244192, -53.234924737327695</t>
  </si>
  <si>
    <t>LUIZ FAVA</t>
  </si>
  <si>
    <t>LUIZ FAVA  A1</t>
  </si>
  <si>
    <t>CLAUDIOMIR BAPTAGLIN</t>
  </si>
  <si>
    <t>CLAUDIOMIR BAPTAGLIN  A1</t>
  </si>
  <si>
    <t>-25.60927797928304, -53.82751988893639</t>
  </si>
  <si>
    <t>MARCELO FABIANO SCHAAB</t>
  </si>
  <si>
    <t>MARCELO FABIANO SCHAAB  A1</t>
  </si>
  <si>
    <t>CLAUDIOMIRO SCHNEIDER</t>
  </si>
  <si>
    <t>CLAUDIOMIRO SCHNEIDER  A1</t>
  </si>
  <si>
    <t>-24.627396072571234, -53.75474687392783</t>
  </si>
  <si>
    <t>MARCELO RODRIGO LOTHERMANN</t>
  </si>
  <si>
    <t>MARCELO RODRIGO LOTHERMANN  A1</t>
  </si>
  <si>
    <t>-25.619939031346085, -53.705798575472635</t>
  </si>
  <si>
    <t>MARCELO RODRIGO LOTHERMANN  A2</t>
  </si>
  <si>
    <t>-25.61980972399775, -53.70582653417145</t>
  </si>
  <si>
    <t>CLAUDINO VENGEN</t>
  </si>
  <si>
    <t>CLAUDINO VENGEN  A2</t>
  </si>
  <si>
    <t>-25.147542923740957, -53.310629731202916</t>
  </si>
  <si>
    <t>REGINA SCHNEIDER KURZ</t>
  </si>
  <si>
    <t>REGINA SCHNEIDER KURZ  A1</t>
  </si>
  <si>
    <t>-25.70349790183917, -53.815393312700905</t>
  </si>
  <si>
    <t>CLAUDINO VENGEN  A1</t>
  </si>
  <si>
    <t>REGINA SCHNEIDER KURZ  A2</t>
  </si>
  <si>
    <t>CLEIDE RITIANE ROLL</t>
  </si>
  <si>
    <t>CLEIDE RITIANE ROLL  A1</t>
  </si>
  <si>
    <t>-25.886273492601873, -53.70034939801419</t>
  </si>
  <si>
    <t>RENATO RAFAEL PETRIKICZ</t>
  </si>
  <si>
    <t>RENATO RAFAEL PETRIKICZ  A1</t>
  </si>
  <si>
    <t>-25.5514459319218, -53.695572870223494</t>
  </si>
  <si>
    <t>EDEVIR CONTI</t>
  </si>
  <si>
    <t>EDEVIR CONTI  A2</t>
  </si>
  <si>
    <t>-26.018230923540738, -53.70866839103403</t>
  </si>
  <si>
    <t>EDEVIR CONTI  A1</t>
  </si>
  <si>
    <t>-26.018030993603176, -53.708626397549786</t>
  </si>
  <si>
    <t>LUCAS EDUARDO LUFT</t>
  </si>
  <si>
    <t>LUCAS EDUARDO LUFT  A2</t>
  </si>
  <si>
    <t>-25.6867824615146, -53.82300710036362</t>
  </si>
  <si>
    <t>ELIMAR SCHINDLER</t>
  </si>
  <si>
    <t>ELIMAR SCHINDLER  A1</t>
  </si>
  <si>
    <t>-25.68480311588887, -53.77955385761845</t>
  </si>
  <si>
    <t>LUCAS EDUARDO LUFT  A1</t>
  </si>
  <si>
    <t>-25.686283495565995, -53.82283845790398</t>
  </si>
  <si>
    <t>ELIMARI MAROSTIKA ROSO</t>
  </si>
  <si>
    <t>ELIMARI MAROSTIKA ROSO  A1</t>
  </si>
  <si>
    <t>-25.650041762873368, -53.85723081018942</t>
  </si>
  <si>
    <t>DELIRDES DAL PIVA KIPPER</t>
  </si>
  <si>
    <t>DELIRDES DAL PIVA KIPPER  A1</t>
  </si>
  <si>
    <t>-25.677631510159927, -53.85433659185863</t>
  </si>
  <si>
    <t>ELIO MINSKI</t>
  </si>
  <si>
    <t>ELIO MINSKI  A1</t>
  </si>
  <si>
    <t>-25.637957984936364, -53.811170000672504</t>
  </si>
  <si>
    <t>DELMIR LUIZ TRARBACH</t>
  </si>
  <si>
    <t>DELMIR LUIZ TRARBACH  A2</t>
  </si>
  <si>
    <t>-25.606208796522232, -53.82801210607976</t>
  </si>
  <si>
    <t>ELIO MINSKI  A2</t>
  </si>
  <si>
    <t>-25.63806043713703, -53.81232663755689</t>
  </si>
  <si>
    <t>DELMIR LUIZ TRARBACH  A1</t>
  </si>
  <si>
    <t>-25.60608463687641, -53.82847210656207</t>
  </si>
  <si>
    <t>GEFERSON MOSSULIN</t>
  </si>
  <si>
    <t>GEFERSON MOSSULIN  A1</t>
  </si>
  <si>
    <t>-25.47793805432014, -53.60598877398765</t>
  </si>
  <si>
    <t>GILBERTO PAGLIARINI</t>
  </si>
  <si>
    <t>GILBERTO PAGLIARINI  A1</t>
  </si>
  <si>
    <t>-25.951438329908708, -53.64298294672757</t>
  </si>
  <si>
    <t>DILCEU ERNESTO ROMAN</t>
  </si>
  <si>
    <t>DILCEU ERNESTO ROMAN  A1</t>
  </si>
  <si>
    <t>-25.499266751193215, -53.56937331538202</t>
  </si>
  <si>
    <t>GILBERTO PAGLIARINI A2</t>
  </si>
  <si>
    <t>DILCEU ERNESTO ROMAN  A2</t>
  </si>
  <si>
    <t>-25.499366029641667, -53.56834012124417</t>
  </si>
  <si>
    <t>GILMAR AFONSO ESTIVAL</t>
  </si>
  <si>
    <t>GILMAR AFONSO ESTIVAL  A1</t>
  </si>
  <si>
    <t>-25.47846371653857, -53.56464148952918</t>
  </si>
  <si>
    <t>GILNEI JOSE ESTIVAL</t>
  </si>
  <si>
    <t>GILNEI JOSE ESTIVAL  A1</t>
  </si>
  <si>
    <t>-25.47715002145564, -53.563739514712125</t>
  </si>
  <si>
    <t>ISMAR DARCI DAL PIVA</t>
  </si>
  <si>
    <t>ISMAR DARCI DAL PIVA  A1</t>
  </si>
  <si>
    <t>-25.63576038396244, -53.78787869800492</t>
  </si>
  <si>
    <t>DILVANO MACHADO</t>
  </si>
  <si>
    <t>DILVANO MACHADO  A1</t>
  </si>
  <si>
    <t>-25.448602765260826, -53.16739501604081</t>
  </si>
  <si>
    <t>ISMAR DARCI DAL PIVA  A2</t>
  </si>
  <si>
    <t>-25.63561099838853, -53.78758465076746</t>
  </si>
  <si>
    <t>CLEUSA DE SOUZA RIBEIRO</t>
  </si>
  <si>
    <t>CLEUSA DE SOUZA RIBEIRO  A4</t>
  </si>
  <si>
    <t>-24.594516944110005, -53.486370996887985</t>
  </si>
  <si>
    <t>MAICON ANDRE PAGLIARINI</t>
  </si>
  <si>
    <t>MAICON ANDRE PAGLIARINI  A1</t>
  </si>
  <si>
    <t>-25.951607578900912, -53.64288423825806</t>
  </si>
  <si>
    <t>CLEUSA DE SOUZA RIBEIRO  A3</t>
  </si>
  <si>
    <t>MATEUS HENRIQUE MINSKI</t>
  </si>
  <si>
    <t>MATEUS HENRIQUE MINSKI  A1</t>
  </si>
  <si>
    <t>-25.63817902584431, -53.812213343853166</t>
  </si>
  <si>
    <t>MIGUEL LUIZ WAGNER</t>
  </si>
  <si>
    <t>MIGUEL LUIZ WAGNER  A1</t>
  </si>
  <si>
    <t>-25.79700863065136, -53.71033886290462</t>
  </si>
  <si>
    <t>EDER THEODORO  A1</t>
  </si>
  <si>
    <t>-25.68579902451928, -53.641816679091335</t>
  </si>
  <si>
    <t>MOACIR JOSE MORASKI  A4</t>
  </si>
  <si>
    <t>-25.501092994531913, -53.56277095117667</t>
  </si>
  <si>
    <t>DELCI SCHNEIDER</t>
  </si>
  <si>
    <t>DELCI SCHNEIDER  A1</t>
  </si>
  <si>
    <t>-25.577489888242386, -53.93364127908822</t>
  </si>
  <si>
    <t>NERI LUIZ PHILIPPSEN</t>
  </si>
  <si>
    <t>NERI LUIZ PHILIPPSEN  A3</t>
  </si>
  <si>
    <t>-25.603649120593122, -53.77473104723536</t>
  </si>
  <si>
    <t>NERI LUIZ PHILIPPSEN  A2</t>
  </si>
  <si>
    <t>-25.60328500224501, -53.77505400279627</t>
  </si>
  <si>
    <t>NERI LUIZ PHILIPPSEN  A1</t>
  </si>
  <si>
    <t>-25.603078553294164, -53.77572885979623</t>
  </si>
  <si>
    <t>EDIO ANTONIO BARBOSA</t>
  </si>
  <si>
    <t>EDIO ANTONIO BARBOSA  A2</t>
  </si>
  <si>
    <t>-25.685083249263414, -53.68135012667327</t>
  </si>
  <si>
    <t>SIDEMAR TAUFEMBACH</t>
  </si>
  <si>
    <t>SIDEMAR TAUFEMBACH  A3</t>
  </si>
  <si>
    <t>-25.320544064863935, -53.19936945689759</t>
  </si>
  <si>
    <t>EDIO ANTONIO BARBOSA  A1</t>
  </si>
  <si>
    <t>-25.68594916216129, -53.68161339700077</t>
  </si>
  <si>
    <t>SIDEMAR TAUFEMBACH  A2</t>
  </si>
  <si>
    <t>DERCIO ANTONIO BACH</t>
  </si>
  <si>
    <t>DERCIO ANTONIO BACH  A1</t>
  </si>
  <si>
    <t>-24.74225063069392, -53.634727980792036</t>
  </si>
  <si>
    <t>SIDEMAR TAUFEMBACH  A1</t>
  </si>
  <si>
    <t>EDITE MARIA VETTORELLO</t>
  </si>
  <si>
    <t>EDITE MARIA VETTORELLO  A1</t>
  </si>
  <si>
    <t>-25.658156232427746, -53.8234508113511</t>
  </si>
  <si>
    <t>VALMIR ROSIN</t>
  </si>
  <si>
    <t>VALMIR ROSIN  A1</t>
  </si>
  <si>
    <t>-25.776056790521984, -53.56245880904655</t>
  </si>
  <si>
    <t>DERLY JOAO PORTO</t>
  </si>
  <si>
    <t>DERLY JOAO PORTO  A2</t>
  </si>
  <si>
    <t>-24.479885386994518, -54.169138177138436</t>
  </si>
  <si>
    <t>VANILDE MARIANO DE BORBA FAVA</t>
  </si>
  <si>
    <t>VANILDE MARIANO DE BORBA FAVA A1</t>
  </si>
  <si>
    <t>-25.71523404927798, -53.540207021036885</t>
  </si>
  <si>
    <t>DERLY JOAO PORTO  A1</t>
  </si>
  <si>
    <t>MOACIR JOSE MORASKI  A5</t>
  </si>
  <si>
    <t>-25.501118348706157, -53.562571577954394</t>
  </si>
  <si>
    <t>EGON SEHN</t>
  </si>
  <si>
    <t>EGON SEHN  A2</t>
  </si>
  <si>
    <t>-25.631809290057436, -53.73357680426546</t>
  </si>
  <si>
    <t>EGON SEHN  A1</t>
  </si>
  <si>
    <t>-25.632053669452937, -53.733962378686826</t>
  </si>
  <si>
    <t>DILMAR CANDIOTO</t>
  </si>
  <si>
    <t>DILMAR CANDIOTO  A1</t>
  </si>
  <si>
    <t>-25.178519164827772, -53.318137824833975</t>
  </si>
  <si>
    <t>FRANCISCO ROSARIO DO PRADO</t>
  </si>
  <si>
    <t>FRANCISCO ROSARIO DO PRADO A1</t>
  </si>
  <si>
    <t>-25.45913, -53.47352</t>
  </si>
  <si>
    <t>IVANIR SOKOLOWSKI</t>
  </si>
  <si>
    <t>IVANIR SOKOLOWSKI  A1</t>
  </si>
  <si>
    <t>-25.617386479575483, -53.79224911394449</t>
  </si>
  <si>
    <t>ELI ENGLERT</t>
  </si>
  <si>
    <t>ELI ENGLERT  A2</t>
  </si>
  <si>
    <t>-24.480194339391556, -53.97107718804131</t>
  </si>
  <si>
    <t>JOAO VALDECIR FONTANELA</t>
  </si>
  <si>
    <t>JOAO VALDECIR FONTANELA  A1</t>
  </si>
  <si>
    <t>-25.51968000140973, -53.599004962781024</t>
  </si>
  <si>
    <t>ELI ENGLERT  A1</t>
  </si>
  <si>
    <t>JOAO VALDECIR FONTANELA  A2</t>
  </si>
  <si>
    <t>-25.51880841617388, -53.59832932255839</t>
  </si>
  <si>
    <t>DIOGENES PEROZZO</t>
  </si>
  <si>
    <t>DIOGENES PEROZZO  A2</t>
  </si>
  <si>
    <t>-25.09420949222352, -53.33268669399252</t>
  </si>
  <si>
    <t>LUCAS ASCARI</t>
  </si>
  <si>
    <t>LUCAS ASCARI  A1</t>
  </si>
  <si>
    <t>-25.42929627811684, -53.24194370972724</t>
  </si>
  <si>
    <t>DIOGENES PEROZZO  A1</t>
  </si>
  <si>
    <t>LUCAS ASCARI  A2</t>
  </si>
  <si>
    <t>-25.429477465357518, -53.241839591200836</t>
  </si>
  <si>
    <t>ELIAS DE OLIVEIRA</t>
  </si>
  <si>
    <t>ELIAS DE OLIVEIRA  A2</t>
  </si>
  <si>
    <t>-25.478667787355402, -53.4762026811518</t>
  </si>
  <si>
    <t>ELIAS DE OLIVEIRA  A1</t>
  </si>
  <si>
    <t>-25.47873622833241, -53.476437996528574</t>
  </si>
  <si>
    <t>LUCAS HENRIQUE SCHLOSSER DICK</t>
  </si>
  <si>
    <t>LUCAS HENRIQUE SCHLOSSER DICK  A1</t>
  </si>
  <si>
    <t>-25.592956594506784, -53.96083921531801</t>
  </si>
  <si>
    <t>DIOGENES RAISEL DA CRUZ</t>
  </si>
  <si>
    <t>DIOGENES RAISEL DA CRUZ  A2</t>
  </si>
  <si>
    <t>-25.0893055555556, -53.5356944444444</t>
  </si>
  <si>
    <t>MARCOS OENNING</t>
  </si>
  <si>
    <t>MARCOS OENNING  A2</t>
  </si>
  <si>
    <t>-25.51464973616139, -53.300490110062405</t>
  </si>
  <si>
    <t>DIOGENES RAISEL DA CRUZ  A1</t>
  </si>
  <si>
    <t>MARCOS OENNING  A1</t>
  </si>
  <si>
    <t>-25.514853263924685, -53.30043833801201</t>
  </si>
  <si>
    <t>NERIO LUIZ MATIAS DA ROCHA</t>
  </si>
  <si>
    <t>NERIO LUIZ MATIAS DA ROCHA  A1</t>
  </si>
  <si>
    <t>-26.24219694102812, -53.60520609023138</t>
  </si>
  <si>
    <t>NILSON LUIZ DA ROCHA</t>
  </si>
  <si>
    <t>NILSON LUIZ DA ROCHA  A1</t>
  </si>
  <si>
    <t>-26.242164056348045, -53.60527340137908</t>
  </si>
  <si>
    <t>DIRCE TERESINHA ELY SCHNEIDER</t>
  </si>
  <si>
    <t>DIRCE TERESINHA ELY SCHNEIDER  A2</t>
  </si>
  <si>
    <t>-24.667899530933212, -53.91754397584506</t>
  </si>
  <si>
    <t>NILTON OENNING</t>
  </si>
  <si>
    <t>NILTON OENNING  A1</t>
  </si>
  <si>
    <t>-25.516526682503763, -53.26003759701881</t>
  </si>
  <si>
    <t>DIRCE TERESINHA ELY SCHNEIDER  A1</t>
  </si>
  <si>
    <t>NOLI PALAVER</t>
  </si>
  <si>
    <t>NOLI PALAVER  A2</t>
  </si>
  <si>
    <t>-25.774095083829828, -53.679855984192216</t>
  </si>
  <si>
    <t>ELIO MIGLIORANCA E RENAN ANDRE MIGLIORANCA</t>
  </si>
  <si>
    <t>ELIO MIGLIORANCA E RENAN ANDRE MIGLIORANCA  A1</t>
  </si>
  <si>
    <t>-24.431994019589144, -53.95117016100288</t>
  </si>
  <si>
    <t>NOLI PALAVER  A1</t>
  </si>
  <si>
    <t>-25.77415818563082, -53.679546527333706</t>
  </si>
  <si>
    <t>ELIO MIGLIORANCA E RENAN ANDRE MIGLIORANCA  A2</t>
  </si>
  <si>
    <t>ODAIR MENEGON</t>
  </si>
  <si>
    <t>ODAIR MENEGON  A2</t>
  </si>
  <si>
    <t>SANTA LÚCIA</t>
  </si>
  <si>
    <t>-25.400708602945976, -53.531929323815284</t>
  </si>
  <si>
    <t>ODAIR MENEGON  A1</t>
  </si>
  <si>
    <t>-25.40104341887442, -53.53199085823363</t>
  </si>
  <si>
    <t>RAFAEL LUFT</t>
  </si>
  <si>
    <t>RAFAEL LUFT  A1</t>
  </si>
  <si>
    <t>-25.610274883252348, -53.8444772426534</t>
  </si>
  <si>
    <t>ROMALDO DE OLIVEIRA</t>
  </si>
  <si>
    <t>ROMALDO DE OLIVEIRA  A3</t>
  </si>
  <si>
    <t>-25.711011710926826, -53.77708925431543</t>
  </si>
  <si>
    <t>ENEDIR MENDES DA SILVA</t>
  </si>
  <si>
    <t>ENEDIR MENDES DA SILVA  A1</t>
  </si>
  <si>
    <t>-25.06168556662773, -53.42076783734629</t>
  </si>
  <si>
    <t>ROMALDO DE OLIVEIRA  A2</t>
  </si>
  <si>
    <t>ROMALDO DE OLIVEIRA  A1</t>
  </si>
  <si>
    <t>-25.71081916031073, -53.777309401559265</t>
  </si>
  <si>
    <t>ENIO PANDOLFO</t>
  </si>
  <si>
    <t>ENIO PANDOLFO  A1</t>
  </si>
  <si>
    <t>-25.44249739894748, -53.47018939280414</t>
  </si>
  <si>
    <t>SILVANEO DALL ALBA</t>
  </si>
  <si>
    <t>SILVANEO DALL ALBA  A1</t>
  </si>
  <si>
    <t>-25.58036176594918, -53.74272357626377</t>
  </si>
  <si>
    <t>ENIO ROQUE TREMEA</t>
  </si>
  <si>
    <t>ENIO ROQUE TREMEA  A1</t>
  </si>
  <si>
    <t>-24.55464464591735, -53.764556584547734</t>
  </si>
  <si>
    <t>SILVANEO DALL ALBA  A2</t>
  </si>
  <si>
    <t>-25.58069644798799, -53.742611575881625</t>
  </si>
  <si>
    <t>ENIO ROQUE TREMEA  A4</t>
  </si>
  <si>
    <t>SILVIA MARIA SAUTER BAYERLE</t>
  </si>
  <si>
    <t>SILVIA MARIA SAUTER BAYERLE  A2</t>
  </si>
  <si>
    <t>-25.590112997910236, -53.76548997655821</t>
  </si>
  <si>
    <t>ENIO ROQUE TREMEA  A2</t>
  </si>
  <si>
    <t>SILVIA MARIA SAUTER BAYERLE  A1</t>
  </si>
  <si>
    <t>-25.589972002313154, -53.7660287666732</t>
  </si>
  <si>
    <t>ENIO ROQUE TREMEA  A3</t>
  </si>
  <si>
    <t>TERESINHA RAMIRES</t>
  </si>
  <si>
    <t>TERESINHA RAMIRES  A1</t>
  </si>
  <si>
    <t>-25.612333610895863, -53.76938517217484</t>
  </si>
  <si>
    <t>TERESINHA RAMIRES  A2</t>
  </si>
  <si>
    <t>-25.612719257787884, -53.76921097960067</t>
  </si>
  <si>
    <t>TEREZINHA BOEING BAYERLE</t>
  </si>
  <si>
    <t>TEREZINHA BOEING BAYERLE  A1</t>
  </si>
  <si>
    <t>-25.646550013085246, -53.863232920306174</t>
  </si>
  <si>
    <t>TIAGO ROSO</t>
  </si>
  <si>
    <t>TIAGO ROSO  A1</t>
  </si>
  <si>
    <t>-25.65006029560105, -53.85759691716776</t>
  </si>
  <si>
    <t>ERNESTO RUDELL</t>
  </si>
  <si>
    <t>ERNESTO RUDELL  A1</t>
  </si>
  <si>
    <t>-25.616776618275463, -53.73853561394992</t>
  </si>
  <si>
    <t>VALDECI SOKOLOWSKI</t>
  </si>
  <si>
    <t>VALDECI SOKOLOWSKI  A1</t>
  </si>
  <si>
    <t>-25.613417516342174, -53.78826235178264</t>
  </si>
  <si>
    <t>ERNO ERENO JUST</t>
  </si>
  <si>
    <t>ERNO ERENO JUST  A1</t>
  </si>
  <si>
    <t>-24.478494563463347, -53.940334187930624</t>
  </si>
  <si>
    <t>VALDECI SOKOLOWSKI  A2</t>
  </si>
  <si>
    <t>-25.613199126380884, -53.788678619112446</t>
  </si>
  <si>
    <t>ERNO ERENO JUST  A2</t>
  </si>
  <si>
    <t>VALDECI SOKOLOWSKI  A3</t>
  </si>
  <si>
    <t>-25.613701174793455, -53.78793588164317</t>
  </si>
  <si>
    <t>ESPOLIO SALVADOR ACORDI FONTANELA</t>
  </si>
  <si>
    <t>ESPOLIO SALVADOR ACORDI FONTANELA  A1</t>
  </si>
  <si>
    <t>-25.457886380710736, -53.46832694999905</t>
  </si>
  <si>
    <t>VALDECIR CEMBRANI</t>
  </si>
  <si>
    <t>VALDECIR CEMBRANI  A1</t>
  </si>
  <si>
    <t>EVALDO BRAND</t>
  </si>
  <si>
    <t>EVALDO BRAND  A2</t>
  </si>
  <si>
    <t>-25.48726636112001, -53.24565676045938</t>
  </si>
  <si>
    <t>VALDECIR RESENER</t>
  </si>
  <si>
    <t>VALDECIR RESENER  A1</t>
  </si>
  <si>
    <t>-25.61135972636373, -53.84386604747244</t>
  </si>
  <si>
    <t>EVALDO BRAND  A1</t>
  </si>
  <si>
    <t>-25.487588285190782, -53.24559760040964</t>
  </si>
  <si>
    <t>VALMIR SCAPIN DURIGON</t>
  </si>
  <si>
    <t>VALMIR SCAPIN DURIGON  A1</t>
  </si>
  <si>
    <t>-25.84836918891949, -53.74262610796094</t>
  </si>
  <si>
    <t>ELANI MIRIA KIST STOCKER</t>
  </si>
  <si>
    <t>ELANI MIRIA KIST STOCKER  A1</t>
  </si>
  <si>
    <t>-24.986717537860024, -53.32738214435186</t>
  </si>
  <si>
    <t>VALTER JOSE STEFFEN</t>
  </si>
  <si>
    <t>VALTER JOSE STEFFEN  A1</t>
  </si>
  <si>
    <t>-25.65740316450006, -53.85998857569984</t>
  </si>
  <si>
    <t>EVALDO LUIZ HERDMAN BUENO</t>
  </si>
  <si>
    <t>EVALDO LUIZ HERDMAN BUENO  A2</t>
  </si>
  <si>
    <t>-26.183622823839094, -53.65858795295872</t>
  </si>
  <si>
    <t>VALTER JOSE STEFFEN  A2</t>
  </si>
  <si>
    <t>-25.65696194919679, -53.86006387099125</t>
  </si>
  <si>
    <t>EVALDO LUIZ HERDMAN BUENO  A1</t>
  </si>
  <si>
    <t>-26.185844826149026, -53.6578245609715</t>
  </si>
  <si>
    <t>VALTER JOSE STEFFEN  A3</t>
  </si>
  <si>
    <t>AILTON LUIZ SCHNEIDER A2</t>
  </si>
  <si>
    <t>EVERTON PEDRON</t>
  </si>
  <si>
    <t>EVERTON PEDRON  A1</t>
  </si>
  <si>
    <t>-25.718976597248876, -53.554263871205414</t>
  </si>
  <si>
    <t>EVILSON DE ALMEIDA GUEDES</t>
  </si>
  <si>
    <t>EVILSON DE ALMEIDA GUEDES  A3</t>
  </si>
  <si>
    <t>-26.243329788587026, -53.593995084669174</t>
  </si>
  <si>
    <t>EVILSON DE ALMEIDA GUEDES  A2</t>
  </si>
  <si>
    <t>-26.242252918467834, -53.59445578092513</t>
  </si>
  <si>
    <t>EVILSON DE ALMEIDA GUEDES  A4</t>
  </si>
  <si>
    <t>-26.243568587114787, -53.5941069906011</t>
  </si>
  <si>
    <t>EVILSON DE ALMEIDA GUEDES  A1</t>
  </si>
  <si>
    <t>-26.242300235273007, -53.594519794478316</t>
  </si>
  <si>
    <t>ELIO ZUFFO</t>
  </si>
  <si>
    <t>ELIO ZUFFO  A2</t>
  </si>
  <si>
    <t>-24.713215758735817, -53.9001688417113</t>
  </si>
  <si>
    <t>ELIO ZUFFO  A1</t>
  </si>
  <si>
    <t>FABIO JUNIOR ASCARI</t>
  </si>
  <si>
    <t>FABIO JUNIOR ASCARI  A2</t>
  </si>
  <si>
    <t>-25.384826733209557, -53.20374909913489</t>
  </si>
  <si>
    <t>FABIO JUNIOR ASCARI  A1</t>
  </si>
  <si>
    <t>FERNANDO LUIZ MANFROI</t>
  </si>
  <si>
    <t>FERNANDO LUIZ MANFROI  A1</t>
  </si>
  <si>
    <t>-24.785450655656632, -53.778059142391086</t>
  </si>
  <si>
    <t>FERNANDO LUIZ MANFROI  A3</t>
  </si>
  <si>
    <t>FERNANDO LUIZ MANFROI  A2</t>
  </si>
  <si>
    <t>FERNANDO SALBEGO</t>
  </si>
  <si>
    <t>FERNANDO SALBEGO  A1</t>
  </si>
  <si>
    <t>-25.847888748266442, -53.78011087961964</t>
  </si>
  <si>
    <t>FERNANDO WOLF</t>
  </si>
  <si>
    <t>FERNANDO WOLF  A1</t>
  </si>
  <si>
    <t>-25.681136156080314, -53.79059538149733</t>
  </si>
  <si>
    <t>FERNANDO WOLF  A2</t>
  </si>
  <si>
    <t>-25.681285962537338, -53.79026737465481</t>
  </si>
  <si>
    <t>EUDES JOSE DALLAGNOL</t>
  </si>
  <si>
    <t>EUDES JOSE DALLAGNOL  A1</t>
  </si>
  <si>
    <t>-24.708332172759935, -53.82350261330594</t>
  </si>
  <si>
    <t>EUDES JOSE DALLAGNOL  A2</t>
  </si>
  <si>
    <t>GELSON EDERSON GUERRA</t>
  </si>
  <si>
    <t>GELSON EDERSON GUERRA  A1</t>
  </si>
  <si>
    <t>-25.601374766549878, -53.74879174484039</t>
  </si>
  <si>
    <t>GELSON EDERSON GUERRA  A2</t>
  </si>
  <si>
    <t>-25.60061329274529, -53.74797239601143</t>
  </si>
  <si>
    <t>GENUIR ANTONIO NODARI</t>
  </si>
  <si>
    <t>GENUIR ANTONIO NODARI  A3</t>
  </si>
  <si>
    <t>-24.741906657811967, -53.638449014550154</t>
  </si>
  <si>
    <t>GENUIR ANTONIO NODARI  A2</t>
  </si>
  <si>
    <t>GENUIR ANTONIO NODARI  A1</t>
  </si>
  <si>
    <t>GERALDO CARLOS MACHADO</t>
  </si>
  <si>
    <t>GERALDO CARLOS MACHADO  A2</t>
  </si>
  <si>
    <t>-24.574776624916556, -53.74521843107324</t>
  </si>
  <si>
    <t>GERALDO CARLOS MACHADO  A1</t>
  </si>
  <si>
    <t>EVANDRO RODRIGO SILVA</t>
  </si>
  <si>
    <t>EVANDRO RODRIGO SILVA  A1</t>
  </si>
  <si>
    <t>-25.729949885229207, -53.65390797677145</t>
  </si>
  <si>
    <t>ADEMIR LUCHT</t>
  </si>
  <si>
    <t>ADEMIR LUCHT  A1</t>
  </si>
  <si>
    <t>-24.690653209351176, -53.61000657067059</t>
  </si>
  <si>
    <t>GILBERTO CARMO PATZOLD</t>
  </si>
  <si>
    <t>GILBERTO CARMO PATZOLD  A2</t>
  </si>
  <si>
    <t>-24.814178742017397, -53.41448665630619</t>
  </si>
  <si>
    <t>GILBERTO CARMO PATZOLD  A7</t>
  </si>
  <si>
    <t>HELIO CELSO CHECOSSI</t>
  </si>
  <si>
    <t>HELIO CELSO CHECOSSI  A1</t>
  </si>
  <si>
    <t>-25.523566485994643, -53.217744759791515</t>
  </si>
  <si>
    <t>GILBERTO CARMO PATZOLD  A6</t>
  </si>
  <si>
    <t>HELMUTH SCHNEIDER</t>
  </si>
  <si>
    <t>HELMUTH SCHNEIDER  A1</t>
  </si>
  <si>
    <t>-25.57675922848181, -53.934626305114406</t>
  </si>
  <si>
    <t>GILBERTO CARMO PATZOLD  A5</t>
  </si>
  <si>
    <t>HELMUTH SCHNEIDER  A2</t>
  </si>
  <si>
    <t>-25.577184734939255, -53.93412362290009</t>
  </si>
  <si>
    <t>GILBERTO CARMO PATZOLD  A4</t>
  </si>
  <si>
    <t>IVAN RICARDO LAZZAROTO</t>
  </si>
  <si>
    <t>IVAN RICARDO LAZZAROTO  A1</t>
  </si>
  <si>
    <t>GILBERTO CARMO PATZOLD  A1</t>
  </si>
  <si>
    <t>JOAO ROBERTO GASPARELO</t>
  </si>
  <si>
    <t>JOAO ROBERTO GASPARELO  A1</t>
  </si>
  <si>
    <t>-25.365014321607745, -53.386308955671076</t>
  </si>
  <si>
    <t>GILBERTO CARMO PATZOLD  A3</t>
  </si>
  <si>
    <t>JOAO ROBERTO GASPARELO  A2</t>
  </si>
  <si>
    <t>-25.365212501232968, -53.3865996072509</t>
  </si>
  <si>
    <t>JONAS HERDMAN</t>
  </si>
  <si>
    <t>JONAS HERDMAN  A1</t>
  </si>
  <si>
    <t>-26.185727411836663, -53.657742923348316</t>
  </si>
  <si>
    <t>JONAS HERDMAN  A2</t>
  </si>
  <si>
    <t>-26.185945120889986, -53.658148192575666</t>
  </si>
  <si>
    <t>GILMAR ROSIN</t>
  </si>
  <si>
    <t>GILMAR ROSIN  A2</t>
  </si>
  <si>
    <t>-25.599444380856262, -53.85915184749631</t>
  </si>
  <si>
    <t>JONEI PEDRO BIESEK</t>
  </si>
  <si>
    <t>JONEI PEDRO BIESEK  A1</t>
  </si>
  <si>
    <t>-25.63689569281194, -53.81721813862922</t>
  </si>
  <si>
    <t>GILMAR ROSIN  A1</t>
  </si>
  <si>
    <t>JULIETE CRISTINA WESSELING SCHNEIDER</t>
  </si>
  <si>
    <t>JULIETE CRISTINA WESSELING SCHNEIDER  A1</t>
  </si>
  <si>
    <t>LAURINDO MARTINS</t>
  </si>
  <si>
    <t>LAURINDO MARTINS  A1</t>
  </si>
  <si>
    <t>-25.662114758525874, -53.760910060826625</t>
  </si>
  <si>
    <t>MARLO ALEXANDRE FORALOSSO</t>
  </si>
  <si>
    <t>MARLO ALEXANDRE FORALOSSO  A2</t>
  </si>
  <si>
    <t>-25.483074220493744, -53.22516606365036</t>
  </si>
  <si>
    <t>GIOVANI ANTONIO BERTUZZI</t>
  </si>
  <si>
    <t>GIOVANI ANTONIO BERTUZZI  A1</t>
  </si>
  <si>
    <t>-26.193325360654292, -53.61892427321683</t>
  </si>
  <si>
    <t>MARLO ALEXANDRE FORALOSSO  A1</t>
  </si>
  <si>
    <t>-25.48331127485925, -53.22515332380402</t>
  </si>
  <si>
    <t>GIOVANI ANTONIO BERTUZZI  A2</t>
  </si>
  <si>
    <t>-26.193443034953603, -53.61908879855174</t>
  </si>
  <si>
    <t>MILTON VALDENI LAVARDA</t>
  </si>
  <si>
    <t>MILTON VALDENI LAVARDA  A1</t>
  </si>
  <si>
    <t>-25.862956107558524, -53.742909033700656</t>
  </si>
  <si>
    <t>GUSTAVO TASCA FERREIRA</t>
  </si>
  <si>
    <t>GUSTAVO TASCA FERREIRA  A3</t>
  </si>
  <si>
    <t>VERA CRUZ DO OESTE</t>
  </si>
  <si>
    <t>-25.082851307853364, -53.86249861704047</t>
  </si>
  <si>
    <t>NELSON JOSE DE SOUZA</t>
  </si>
  <si>
    <t>NELSON JOSE DE SOUZA  A2</t>
  </si>
  <si>
    <t>-25.531681114118975, -53.22970554308671</t>
  </si>
  <si>
    <t>GUSTAVO TASCA FERREIRA  A2</t>
  </si>
  <si>
    <t>NELSON JOSE DE SOUZA  A1</t>
  </si>
  <si>
    <t>-25.53133965307626, -53.22969538047609</t>
  </si>
  <si>
    <t>GUSTAVO TASCA FERREIRA  A1</t>
  </si>
  <si>
    <t>ODAIR MENEGON  A5</t>
  </si>
  <si>
    <t>-25.448799679977103, -53.623766649018144</t>
  </si>
  <si>
    <t>ODAIR MENEGON  A3</t>
  </si>
  <si>
    <t>-25.44892654484479, -53.623239823108044</t>
  </si>
  <si>
    <t>FUNDACAO PARA O DESENVOLVIMENTO CIENTIFICO E TECNOLOGIC</t>
  </si>
  <si>
    <t>FUNDACAO PARA O DESENVOLVIMENTO CIENTIFICO E TECNOLOGIC  A1</t>
  </si>
  <si>
    <t>-24.997675114584304, -53.296250675312635</t>
  </si>
  <si>
    <t>ODAIR MENEGON  A4</t>
  </si>
  <si>
    <t>-25.448877181032852, -53.623523584117486</t>
  </si>
  <si>
    <t>ODAIR MENEGON  A6</t>
  </si>
  <si>
    <t>-25.44888766636524, -53.62294355469376</t>
  </si>
  <si>
    <t>ODETE CANDIDO</t>
  </si>
  <si>
    <t>ODETE CANDIDO  A1</t>
  </si>
  <si>
    <t>-25.80757170750329, -53.730187459574225</t>
  </si>
  <si>
    <t>ORLANDO HENNIG</t>
  </si>
  <si>
    <t>ORLANDO HENNIG  A1</t>
  </si>
  <si>
    <t>-25.608329642554374, -53.62295567214993</t>
  </si>
  <si>
    <t>HIGINO BATISTA MINUSSI</t>
  </si>
  <si>
    <t>HIGINO BATISTA MINUSSI  A1</t>
  </si>
  <si>
    <t>-24.680294194648088, -53.68385228755469</t>
  </si>
  <si>
    <t>ROSELI KENI RUP DE SOUZA</t>
  </si>
  <si>
    <t>ROSELI KENI RUP DE SOUZA  A1</t>
  </si>
  <si>
    <t>-25.730521741497327, -53.65379347647844</t>
  </si>
  <si>
    <t>ROSELI KENI RUP DE SOUZA  A2</t>
  </si>
  <si>
    <t>-25.73082793414228, -53.65392242744065</t>
  </si>
  <si>
    <t>ROSELI KENI RUP DE SOUZA  A3</t>
  </si>
  <si>
    <t>ORLANDO LUIZ BAZZANELLA</t>
  </si>
  <si>
    <t>ORLANDO LUIZ BAZZANELLA  A1</t>
  </si>
  <si>
    <t>-25.692390, -53.830730</t>
  </si>
  <si>
    <t>IASMIN BORTOLOTTO CANTELLI</t>
  </si>
  <si>
    <t>IASMIN BORTOLOTTO CANTELLI  A1</t>
  </si>
  <si>
    <t>-25.099891727664204, -53.41819230434852</t>
  </si>
  <si>
    <t>IDAIR JOÃO CAPELESSO</t>
  </si>
  <si>
    <t>IDAIR JOÃO CAPELESSO  A1</t>
  </si>
  <si>
    <t>-25.34389336334536, -53.49765420078921</t>
  </si>
  <si>
    <t>IDAIR JOÃO CAPELESSO  A2</t>
  </si>
  <si>
    <t>IGNES FALABRETTI</t>
  </si>
  <si>
    <t>IGNES FALABRETTI  A1</t>
  </si>
  <si>
    <t>-24.600185630710147, -53.72747058285418</t>
  </si>
  <si>
    <t>ILARIO FRANCISCO SCHNEIDER</t>
  </si>
  <si>
    <t>ILARIO FRANCISCO SCHNEIDER  A1</t>
  </si>
  <si>
    <t>-24.544322620408572, -53.77482557630592</t>
  </si>
  <si>
    <t>INGRIT MARLOW</t>
  </si>
  <si>
    <t>INGRIT MARLOW  A1</t>
  </si>
  <si>
    <t>ITO DARI RANNOV</t>
  </si>
  <si>
    <t>ITO DARI RANNOV  A4</t>
  </si>
  <si>
    <t>MARECHAL CANDIDO RONDON</t>
  </si>
  <si>
    <t>-24.551421667118255, -54.17957874368126</t>
  </si>
  <si>
    <t>ITO DARI RANNOV  A2</t>
  </si>
  <si>
    <t>ITO DARI RANNOV  A1</t>
  </si>
  <si>
    <t>ITO DARI RANNOV  A3</t>
  </si>
  <si>
    <t>GILMAR CARLOS SCHMITT</t>
  </si>
  <si>
    <t>GILMAR CARLOS SCHMITT  A2</t>
  </si>
  <si>
    <t>-24.96871814034458, -53.22051002132639</t>
  </si>
  <si>
    <t>GILMAR CARLOS SCHMITT  A1</t>
  </si>
  <si>
    <t>IVANI PICININ SCALCON</t>
  </si>
  <si>
    <t>IVANI PICININ SCALCON  A1</t>
  </si>
  <si>
    <t>-24.6848425970809, -53.64818568585528</t>
  </si>
  <si>
    <t>IVANI PICININ SCALCON  A2</t>
  </si>
  <si>
    <t>GLACY MADALENA STOEBERL</t>
  </si>
  <si>
    <t>GLACY MADALENA STOEBERL  A1</t>
  </si>
  <si>
    <t>-25.108173524838147, -53.35618595228366</t>
  </si>
  <si>
    <t>JACI BOEGER</t>
  </si>
  <si>
    <t>JACI BOEGER  A1</t>
  </si>
  <si>
    <t>-25.53164496600021, -53.27185442975807</t>
  </si>
  <si>
    <t>JACI BOEGER  A2</t>
  </si>
  <si>
    <t>-25.531818157312493, -53.271919179228675</t>
  </si>
  <si>
    <t>JACIR LUIZ BASSANESI</t>
  </si>
  <si>
    <t>JACIR LUIZ BASSANESI  A1</t>
  </si>
  <si>
    <t>-26.191437997478133, -53.654553597712834</t>
  </si>
  <si>
    <t>HAMILTON LUIZ PETRACH</t>
  </si>
  <si>
    <t>HAMILTON LUIZ PETRACH  A1</t>
  </si>
  <si>
    <t>-25.06265858979245, -53.38437004357107</t>
  </si>
  <si>
    <t>JACIR LUIZ CAPELESSO</t>
  </si>
  <si>
    <t>JACIR LUIZ CAPELESSO  A2</t>
  </si>
  <si>
    <t>JACIR LUIZ CAPELESSO  A1</t>
  </si>
  <si>
    <t>JAIR KRAIESKI</t>
  </si>
  <si>
    <t>JAIR KRAIESKI  A1</t>
  </si>
  <si>
    <t>-25.051180392955054, -53.842258726882555</t>
  </si>
  <si>
    <t>JANDIR ESCHEMBACH</t>
  </si>
  <si>
    <t>JANDIR ESCHEMBACH  A1</t>
  </si>
  <si>
    <t>-25.670769903719616, -53.84657157333108</t>
  </si>
  <si>
    <t>JHONY ALFREDO SCHNEIDER</t>
  </si>
  <si>
    <t>JHONY ALFREDO SCHNEIDER  A1</t>
  </si>
  <si>
    <t>-24.54420666552498, -53.77486883246716</t>
  </si>
  <si>
    <t>HERMES ROBERTO BONATTO</t>
  </si>
  <si>
    <t>HERMES ROBERTO BONATTO  A1</t>
  </si>
  <si>
    <t>-25.025950261956563, -53.385582126667174</t>
  </si>
  <si>
    <t>JOAO CLAUDIO CANO</t>
  </si>
  <si>
    <t>JOAO CLAUDIO CANO  A4</t>
  </si>
  <si>
    <t>-24.623391912347635, -53.60851562450912</t>
  </si>
  <si>
    <t>JOAO CLAUDIO CANO  A1</t>
  </si>
  <si>
    <t>JOAO CLAUDIO CANO  A2</t>
  </si>
  <si>
    <t>JOAO CLAUDIO CANO  A3</t>
  </si>
  <si>
    <t>JOAO MARCOS CASTRO BASSANESI</t>
  </si>
  <si>
    <t>JOAO MARCOS CASTRO BASSANESI  A1</t>
  </si>
  <si>
    <t>-26.19153461762058, -53.654684684977944</t>
  </si>
  <si>
    <t>JOAO MARCOS CASTRO BASSANESI  A2</t>
  </si>
  <si>
    <t>JOAO MUNARETTO</t>
  </si>
  <si>
    <t>JOAO MUNARETTO  A1</t>
  </si>
  <si>
    <t>-25.011634070260037, -53.40146845605831</t>
  </si>
  <si>
    <t>JOAO MUNARETTO  A2</t>
  </si>
  <si>
    <t>IMOACIR ANTONIO CALDART</t>
  </si>
  <si>
    <t>IMOACIR ANTONIO CALDART  A1</t>
  </si>
  <si>
    <t>-25.05288632370094, -53.357162600323036</t>
  </si>
  <si>
    <t>IMOACIR ANTONIO CALDART  A2</t>
  </si>
  <si>
    <t>JORGE OSMAR SCHMIDT</t>
  </si>
  <si>
    <t>JORGE OSMAR SCHMIDT  A1</t>
  </si>
  <si>
    <t>-24.75190634550676, -53.69372940306628</t>
  </si>
  <si>
    <t>JORGE OSMAR SCHMIDT  A2</t>
  </si>
  <si>
    <t>JORGE OSMAR SCHMIDT  A3</t>
  </si>
  <si>
    <t>JORGE OSMAR SCHMIDT  A4</t>
  </si>
  <si>
    <t>JOSE MACHADO</t>
  </si>
  <si>
    <t>JOSE MACHADO  A1</t>
  </si>
  <si>
    <t>JOSE NEI ROCHENBACH</t>
  </si>
  <si>
    <t>JOSE NEI ROCHENBACH  A1</t>
  </si>
  <si>
    <t>-25.395692829167135, -53.624139108163384</t>
  </si>
  <si>
    <t>KASSIANO RODRIGO DREY</t>
  </si>
  <si>
    <t>KASSIANO RODRIGO DREY  A1</t>
  </si>
  <si>
    <t>CORBELIA</t>
  </si>
  <si>
    <t>-24.843288517422902, -53.26954183757771</t>
  </si>
  <si>
    <t>LAUDELINO CONRAT</t>
  </si>
  <si>
    <t>LAUDELINO CONRAT  A1</t>
  </si>
  <si>
    <t>-24.69238101649188, -53.59548196152977</t>
  </si>
  <si>
    <t>LAUDELINO CONRAT  A4</t>
  </si>
  <si>
    <t>LAUDELINO CONRAT  A3</t>
  </si>
  <si>
    <t>LAUDELINO CONRAT  A2</t>
  </si>
  <si>
    <t>LAURI HELIO JUSTEN</t>
  </si>
  <si>
    <t>LAURI HELIO JUSTEN  A2</t>
  </si>
  <si>
    <t>-24.708386018717846, -53.806996509942316</t>
  </si>
  <si>
    <t>LAURI HELIO JUSTEN  A1</t>
  </si>
  <si>
    <t>EDSON OWSIANY</t>
  </si>
  <si>
    <t>EDSON OWSIANY A1</t>
  </si>
  <si>
    <t>JOAO ISRAIEL CARNAVAL</t>
  </si>
  <si>
    <t>JOAO ISRAIEL CARNAVAL  A2</t>
  </si>
  <si>
    <t>-25.12937731455605, -53.30646878108324</t>
  </si>
  <si>
    <t>JOAO ISRAIEL CARNAVAL  A1</t>
  </si>
  <si>
    <t>JOAO JADIR VIEIRA DO PRADO</t>
  </si>
  <si>
    <t>JOAO JADIR VIEIRA DO PRADO  A1</t>
  </si>
  <si>
    <t>-24.937422578016108, -53.23216515463531</t>
  </si>
  <si>
    <t>LONI EDITE WUTZKE BREDLAU</t>
  </si>
  <si>
    <t>LONI EDITE WUTZKE BREDLAU  A3</t>
  </si>
  <si>
    <t>-24.482790826108236, -53.95884582693932</t>
  </si>
  <si>
    <t>LONI EDITE WUTZKE BREDLAU  A2</t>
  </si>
  <si>
    <t>LONI EDITE WUTZKE BREDLAU  A1</t>
  </si>
  <si>
    <t>JOAO MARCOS SEIBERT</t>
  </si>
  <si>
    <t>JOAO MARCOS SEIBERT  A1</t>
  </si>
  <si>
    <t>-25.14606331795754, -53.384482958790876</t>
  </si>
  <si>
    <t>LOURDES BRAGAGNOLLO</t>
  </si>
  <si>
    <t>LOURDES BRAGAGNOLLO  A1</t>
  </si>
  <si>
    <t>-24.630579954375953, -53.70719745460972</t>
  </si>
  <si>
    <t>LOURDES BRAGAGNOLLO  A2</t>
  </si>
  <si>
    <t>LOURDES BRAGAGNOLLO  A3</t>
  </si>
  <si>
    <t>LOURDES BRAGAGNOLLO  A4</t>
  </si>
  <si>
    <t>LOURDES BRAGAGNOLLO  A5</t>
  </si>
  <si>
    <t>LOURDES SANTIN WALZINIAK</t>
  </si>
  <si>
    <t>LOURDES SANTIN WALZINIAK  A2</t>
  </si>
  <si>
    <t>-24.85814336303045, -53.574240388964476</t>
  </si>
  <si>
    <t>LOURDES SANTIN WALZINIAK  A1</t>
  </si>
  <si>
    <t>JONAS DALL AGNOL</t>
  </si>
  <si>
    <t>JONAS DALL AGNOL  A1</t>
  </si>
  <si>
    <t>-25.120666295012114, -53.496624623491826</t>
  </si>
  <si>
    <t>LUCIANE MARIA KASPER BACH</t>
  </si>
  <si>
    <t>LUCIANE MARIA KASPER BACH  A3</t>
  </si>
  <si>
    <t>-24.74277404497274, -53.634264587560516</t>
  </si>
  <si>
    <t>LUCIANE MARIA KASPER BACH  A1</t>
  </si>
  <si>
    <t>LUCIANE SAVI MONDO</t>
  </si>
  <si>
    <t>LUCIANE SAVI MONDO  A2</t>
  </si>
  <si>
    <t>-25.33653101680208, -53.152776981442734</t>
  </si>
  <si>
    <t>LUCIANE SAVI MONDO  A1</t>
  </si>
  <si>
    <t>LUIS CARLOS BACKES</t>
  </si>
  <si>
    <t>LUIS CARLOS BACKES  A2</t>
  </si>
  <si>
    <t>-24.763962149708153, -53.585254585272104</t>
  </si>
  <si>
    <t>LUIS CARLOS BACKES  A3</t>
  </si>
  <si>
    <t>LUIS CARLOS BACKES  A1</t>
  </si>
  <si>
    <t>GELCI FERNANDES EBERHARDT</t>
  </si>
  <si>
    <t>GELCI FERNANDES EBERHARDT A1</t>
  </si>
  <si>
    <t>-25.04815, -53.84437</t>
  </si>
  <si>
    <t>LUIZ JOSE DE SOUZA</t>
  </si>
  <si>
    <t>LUIZ JOSE DE SOUZA  A1</t>
  </si>
  <si>
    <t>-25.535346806001055, -53.225276976614104</t>
  </si>
  <si>
    <t>LUIZ JOSE DE SOUZA  A2</t>
  </si>
  <si>
    <t>-25.53513753802274, -53.225509357677495</t>
  </si>
  <si>
    <t>LUIZ JOSE DE SOUZA  A3</t>
  </si>
  <si>
    <t>-25.53518020913967, -53.22483203116255</t>
  </si>
  <si>
    <t>MARCELO KOPPER</t>
  </si>
  <si>
    <t>MARCELO KOPPER  A1</t>
  </si>
  <si>
    <t>-25.693122148360455, -53.8248189602305</t>
  </si>
  <si>
    <t>MARCELO KOPPER  A2</t>
  </si>
  <si>
    <t>MARCIELLI BORTOLOTTO CANTELLI</t>
  </si>
  <si>
    <t>MARCIELLI BORTOLOTTO CANTELLI  A2</t>
  </si>
  <si>
    <t>MARCIELLI BORTOLOTTO CANTELLI  A1</t>
  </si>
  <si>
    <t>LEANDRA DEITOS</t>
  </si>
  <si>
    <t>LEANDRA DEITOS  A2</t>
  </si>
  <si>
    <t>-24.78444745603503, -53.338060138956706</t>
  </si>
  <si>
    <t>LEANDRA DEITOS  A1</t>
  </si>
  <si>
    <t>MARCIO FABRIS</t>
  </si>
  <si>
    <t>MARCIO FABRIS  A1</t>
  </si>
  <si>
    <t>-24.67642269857729, -53.82898425801376</t>
  </si>
  <si>
    <t>LEONIR ANTONIO PETRACH</t>
  </si>
  <si>
    <t>LEONIR ANTONIO PETRACH  A1</t>
  </si>
  <si>
    <t>MARCOS AURELIO BACH</t>
  </si>
  <si>
    <t>MARCOS AURELIO BACH  A2</t>
  </si>
  <si>
    <t>MARCOS AURELIO BACH  A1</t>
  </si>
  <si>
    <t>MARIA TEREZA NEIA BRIXNER</t>
  </si>
  <si>
    <t>MARIA TEREZA NEIA BRIXNER  A3</t>
  </si>
  <si>
    <t>-24.721037652316245, -53.64332582761222</t>
  </si>
  <si>
    <t>MARIA TEREZA NEIA BRIXNER  A2</t>
  </si>
  <si>
    <t>MARIA TEREZA NEIA BRIXNER  A1</t>
  </si>
  <si>
    <t>MARISETE MARIA SCHWENDLER FANIN</t>
  </si>
  <si>
    <t>MARISETE MARIA SCHWENDLER FANIN  A4</t>
  </si>
  <si>
    <t>-25.02534345532833, -53.8665658004316</t>
  </si>
  <si>
    <t>MARISETE MARIA SCHWENDLER FANIN  A3</t>
  </si>
  <si>
    <t>MARISETE MARIA SCHWENDLER FANIN  A2</t>
  </si>
  <si>
    <t>MARISETE MARIA SCHWENDLER FANIN  A1</t>
  </si>
  <si>
    <t>MARLIZE BERNARDINA WEISHEIMER GUERRA</t>
  </si>
  <si>
    <t>MARLIZE BERNARDINA WEISHEIMER GUERRA  A2</t>
  </si>
  <si>
    <t>-25.601263915714014, -53.74818441129929</t>
  </si>
  <si>
    <t>MARLIZE BERNARDINA WEISHEIMER GUERRA  A1</t>
  </si>
  <si>
    <t>-25.601672127459494, -53.748475149715496</t>
  </si>
  <si>
    <t>LUCIO RAMBO</t>
  </si>
  <si>
    <t>LUCIO RAMBO  A1</t>
  </si>
  <si>
    <t>-24.693185211575862, -53.87316178213736</t>
  </si>
  <si>
    <t>LUCIO RAMBO  A2</t>
  </si>
  <si>
    <t>MATEUS GUSTAVO SALVALAGGIO</t>
  </si>
  <si>
    <t>MATEUS GUSTAVO SALVALAGGIO  A4</t>
  </si>
  <si>
    <t>-25.63839822639985, -53.80950817654336</t>
  </si>
  <si>
    <t>MATHEUS HENRIQUE BRIXNER</t>
  </si>
  <si>
    <t>MATHEUS HENRIQUE BRIXNER  A1</t>
  </si>
  <si>
    <t>MATHEUS HENRIQUE BRIXNER  A2</t>
  </si>
  <si>
    <t>LUIS CARLOS LIBERALI</t>
  </si>
  <si>
    <t>LUIS CARLOS LIBERALI  A2</t>
  </si>
  <si>
    <t>-25.138132985147134, -53.35531887574664</t>
  </si>
  <si>
    <t>LUIS CARLOS LIBERALI  A1</t>
  </si>
  <si>
    <t>LUIS CARLOS LIBERALI  A3</t>
  </si>
  <si>
    <t>MELISSA LAUERMANN VIERO</t>
  </si>
  <si>
    <t>MELISSA LAUERMANN VIERO  A2</t>
  </si>
  <si>
    <t>-24.788549439565863, -53.27402253441564</t>
  </si>
  <si>
    <t>MELISSA LAUERMANN VIERO  A1</t>
  </si>
  <si>
    <t>MILTON DREISSIG</t>
  </si>
  <si>
    <t>MILTON DREISSIG  A1</t>
  </si>
  <si>
    <t>-24.458583493972746, -53.968848475438435</t>
  </si>
  <si>
    <t>MILTON DREISSIG  A6</t>
  </si>
  <si>
    <t>MILTON DREISSIG  A5</t>
  </si>
  <si>
    <t>MILTON DREISSIG  A4</t>
  </si>
  <si>
    <t>MILTON DREISSIG  A3</t>
  </si>
  <si>
    <t>-24.457819338723162, -53.968709928946794</t>
  </si>
  <si>
    <t>MILTON DREISSIG  A2</t>
  </si>
  <si>
    <t>NADINE CAETANO DO CARMO BACH</t>
  </si>
  <si>
    <t>NADINE CAETANO DO CARMO BACH  A1</t>
  </si>
  <si>
    <t>-24.565953464570317, -53.99048181552696</t>
  </si>
  <si>
    <t>NADINE CAETANO DO CARMO BACH  A2</t>
  </si>
  <si>
    <t>SERGIO ANTONINHO SPEZZIA</t>
  </si>
  <si>
    <t>SERGIO ANTONINHO SPEZZIA  A1</t>
  </si>
  <si>
    <t>-26.233418994476942, -53.58607690779155</t>
  </si>
  <si>
    <t>SERGIO ANTONINHO SPEZZIA  A2</t>
  </si>
  <si>
    <t>-26.232951889927826, -53.58605213207442</t>
  </si>
  <si>
    <t>NATHALIA BASDAO RODRIGUES DA SILVA</t>
  </si>
  <si>
    <t>NATHALIA BASDAO RODRIGUES DA SILVA  A2</t>
  </si>
  <si>
    <t>-25.089339041467294, -53.53556754021359</t>
  </si>
  <si>
    <t>NATHALIA BASDAO RODRIGUES DA SILVA  A1</t>
  </si>
  <si>
    <t>NEIVA RAUBER SEIBERT</t>
  </si>
  <si>
    <t>NEIVA RAUBER SEIBERT  A1</t>
  </si>
  <si>
    <t>NELCIR PASCUALINO DESORDI</t>
  </si>
  <si>
    <t>NELCIR PASCUALINO DESORDI  A2</t>
  </si>
  <si>
    <t>-24.749615628377235, -53.63134950853057</t>
  </si>
  <si>
    <t>NELCIR PASCUALINO DESORDI  A1</t>
  </si>
  <si>
    <t>NELSON DREY</t>
  </si>
  <si>
    <t>NELSON DREY  A1</t>
  </si>
  <si>
    <t>NELSON SIMIONI</t>
  </si>
  <si>
    <t>NELSON SIMIONI  A1</t>
  </si>
  <si>
    <t>-24.600141977802753, -53.86564771033491</t>
  </si>
  <si>
    <t>NELSON SIMIONI  A2</t>
  </si>
  <si>
    <t>NERIO LUIS CONRAT</t>
  </si>
  <si>
    <t>NERIO LUIS CONRAT  A1</t>
  </si>
  <si>
    <t>NERIO LUIS CONRAT  A2</t>
  </si>
  <si>
    <t>NERIO LUIS CONRAT  A3</t>
  </si>
  <si>
    <t>NERIO LUIS CONRAT  A4</t>
  </si>
  <si>
    <t>NERIO LUIS CONRAT  A5</t>
  </si>
  <si>
    <t>NERIO LUIS CONRAT  A6</t>
  </si>
  <si>
    <t>NERIO LUIS CONRAT  A8</t>
  </si>
  <si>
    <t>NERIO LUIS CONRAT  A7</t>
  </si>
  <si>
    <t>NESTOR ANTONIO BOGORNI</t>
  </si>
  <si>
    <t>NESTOR ANTONIO BOGORNI  A1</t>
  </si>
  <si>
    <t>-24.704351148467335, -53.8094660007116</t>
  </si>
  <si>
    <t>NESTOR ANTONIO BOGORNI  A4</t>
  </si>
  <si>
    <t>NESTOR ANTONIO BOGORNI  A2</t>
  </si>
  <si>
    <t>NESTOR ANTONIO BOGORNI  A3</t>
  </si>
  <si>
    <t>NEVIDON LUIS REHBEIN</t>
  </si>
  <si>
    <t>NEVIDON LUIS REHBEIN  A1</t>
  </si>
  <si>
    <t>-24.47808854354812, -53.93992217997337</t>
  </si>
  <si>
    <t>MARCELO AUGUSTO GIBBERT</t>
  </si>
  <si>
    <t>MARCELO AUGUSTO GIBBERT A1</t>
  </si>
  <si>
    <t>-24.613221729091293, -53.85878121586173</t>
  </si>
  <si>
    <t>NEZIO MAGALHAES</t>
  </si>
  <si>
    <t>NEZIO MAGALHAES  A1</t>
  </si>
  <si>
    <t>-25.060485697865403, -53.41742600115855</t>
  </si>
  <si>
    <t>MARCELO AUGUSTO GIBBERT A2</t>
  </si>
  <si>
    <t>MARCELINO PEDROSO</t>
  </si>
  <si>
    <t>MARCELINO PEDROSO  A1</t>
  </si>
  <si>
    <t>-25.732959010533204, -53.84987951960131</t>
  </si>
  <si>
    <t>A3</t>
  </si>
  <si>
    <t>MARCELO AUGUSTO GIBBERT A3</t>
  </si>
  <si>
    <t>NILSON APARECIDO DA SILVA</t>
  </si>
  <si>
    <t>NILSON APARECIDO DA SILVA  A1</t>
  </si>
  <si>
    <t>-25.059420595813553, -53.866033008141905</t>
  </si>
  <si>
    <t>A4</t>
  </si>
  <si>
    <t>MARCELO AUGUSTO GIBBERT A4</t>
  </si>
  <si>
    <t>NILSON APARECIDO DA SILVA  A2</t>
  </si>
  <si>
    <t>MAYARA CRISTINA DE S. RIBEIRO</t>
  </si>
  <si>
    <t>MAYARA CRISTINA DE S. RIBEIRO  A3</t>
  </si>
  <si>
    <t>MAYARA CRISTINA DE S. RIBEIRO  A4</t>
  </si>
  <si>
    <t>MEIRI PRISCILA RUPPENTHAL</t>
  </si>
  <si>
    <t>MEIRI PRISCILA RUPPENTHAL  A2</t>
  </si>
  <si>
    <t>-24.503133346964376, -54.11976438729715</t>
  </si>
  <si>
    <t>MARCIO RODRIGO LOTHERMANN</t>
  </si>
  <si>
    <t>MARCIO RODRIGO LOTHERMANN A1</t>
  </si>
  <si>
    <t>-25.61998, -53.70569</t>
  </si>
  <si>
    <t>MEIRI PRISCILA RUPPENTHAL  A1</t>
  </si>
  <si>
    <t>MARCIO RODRIGO LOTHERMANN A2</t>
  </si>
  <si>
    <t>MARCIO RODRIGO LOTHERMANN A3</t>
  </si>
  <si>
    <t>NILTO BARABA JUNIOR</t>
  </si>
  <si>
    <t>NILTO BARABA JUNIOR  A1</t>
  </si>
  <si>
    <t>-25.151114038767926, -53.34664860831835</t>
  </si>
  <si>
    <t>MILTON APARECIDO HEREK</t>
  </si>
  <si>
    <t>MILTON APARECIDO HEREK  A1</t>
  </si>
  <si>
    <t>-24.690649619997195, -53.60998413327217</t>
  </si>
  <si>
    <t>ORLANDO ORBEN KRAIESKI</t>
  </si>
  <si>
    <t>ORLANDO ORBEN KRAIESKI  A1</t>
  </si>
  <si>
    <t>OSMAR ROMEU ENGLERT</t>
  </si>
  <si>
    <t>OSMAR ROMEU ENGLERT  A1</t>
  </si>
  <si>
    <t>OTTO ALFREDO SCHNEIDER</t>
  </si>
  <si>
    <t>OTTO ALFREDO SCHNEIDER  A1</t>
  </si>
  <si>
    <t>PAULO FERNANDO L. ORSO</t>
  </si>
  <si>
    <t>PAULO FERNANDO L. ORSO  A3</t>
  </si>
  <si>
    <t>-25.60551769357526, -53.72045198626128</t>
  </si>
  <si>
    <t>PAULO FERNANDO L. ORSO  A2</t>
  </si>
  <si>
    <t>-25.60464159829582, -53.71991462073243</t>
  </si>
  <si>
    <t>PAULO FERNANDO L. ORSO  A1</t>
  </si>
  <si>
    <t>-25.604102542093756, -53.719922109522464</t>
  </si>
  <si>
    <t>PEDRO WIECZOREK</t>
  </si>
  <si>
    <t>PEDRO WIECZOREK  A1</t>
  </si>
  <si>
    <t>-25.689875353835575, -53.82675640759773</t>
  </si>
  <si>
    <t>PRIMO FONTANELA</t>
  </si>
  <si>
    <t>PRIMO FONTANELA  A1</t>
  </si>
  <si>
    <t>-24.99307000892632, -53.4262763754076</t>
  </si>
  <si>
    <t>RAFAEL ALTISSIMO CHIAMOLERA</t>
  </si>
  <si>
    <t>RAFAEL ALTISSIMO CHIAMOLERA  A1</t>
  </si>
  <si>
    <t>-25.651414752153393, -53.85158733520097</t>
  </si>
  <si>
    <t>REGINALDO MARQUES BORGES</t>
  </si>
  <si>
    <t>REGINALDO MARQUES BORGES  A2</t>
  </si>
  <si>
    <t>-24.603312061168715, -53.45303708120982</t>
  </si>
  <si>
    <t>REGINALDO MARQUES BORGES  A1</t>
  </si>
  <si>
    <t>RENILDO ROTTA</t>
  </si>
  <si>
    <t>RENILDO ROTTA  A1</t>
  </si>
  <si>
    <t>-25.5143464, -53.261881</t>
  </si>
  <si>
    <t>RICARDO BATISTA FARIAS</t>
  </si>
  <si>
    <t>RICARDO BATISTA FARIAS  A1</t>
  </si>
  <si>
    <t>-24.576778384878654, -53.53462397915697</t>
  </si>
  <si>
    <t>RICARDO BATISTA FARIAS  A3</t>
  </si>
  <si>
    <t>RICARDO BATISTA FARIAS  A2</t>
  </si>
  <si>
    <t>ROBERTO BICKEL</t>
  </si>
  <si>
    <t>ROBERTO BICKEL  A3</t>
  </si>
  <si>
    <t>-24.67334263023923, -54.07409339335919</t>
  </si>
  <si>
    <t>ROBERTO BICKEL  A2</t>
  </si>
  <si>
    <t>ROBERTO BICKEL  A4</t>
  </si>
  <si>
    <t>ROBERTO BICKEL  A1</t>
  </si>
  <si>
    <t>ROBERTO STOCKMANN</t>
  </si>
  <si>
    <t>ROBERTO STOCKMANN  A5</t>
  </si>
  <si>
    <t>-24.615827956831865, -53.72412630310422</t>
  </si>
  <si>
    <t>ROBERTO STOCKMANN  A1</t>
  </si>
  <si>
    <t>ROBERTO STOCKMANN  A2</t>
  </si>
  <si>
    <t>ROBERTO STOCKMANN  A8</t>
  </si>
  <si>
    <t>ROBERTO STOCKMANN  A4</t>
  </si>
  <si>
    <t>ROBERTO STOCKMANN  A3</t>
  </si>
  <si>
    <t>NOELIR DE FATIMA MACHADO KOLLING</t>
  </si>
  <si>
    <t>NOELIR DE FATIMA MACHADO KOLLING  A1</t>
  </si>
  <si>
    <t>-24.70833681359475, -53.823600671983904</t>
  </si>
  <si>
    <t>ROBERTO STOCKMANN  A7</t>
  </si>
  <si>
    <t>NOELIR DE FATIMA MACHADO KOLLING  A2</t>
  </si>
  <si>
    <t>ROBERTO STOCKMANN  A6</t>
  </si>
  <si>
    <t>NOROLINDO NUNES DA SILVA</t>
  </si>
  <si>
    <t>NOROLINDO NUNES DA SILVA  A1</t>
  </si>
  <si>
    <t>-24.57759536170074, -53.54193957793824</t>
  </si>
  <si>
    <t>NOROLINDO NUNES DA SILVA  A2</t>
  </si>
  <si>
    <t>NOROLINDO NUNES DA SILVA  A3</t>
  </si>
  <si>
    <t>ROBSON HAHN</t>
  </si>
  <si>
    <t>ROBSON HAHN  A4</t>
  </si>
  <si>
    <t>ODILA BARBARA DAL MORO</t>
  </si>
  <si>
    <t>ODILA BARBARA DAL MORO  A1</t>
  </si>
  <si>
    <t>-25.07556142134826, -53.348409426870944</t>
  </si>
  <si>
    <t>ROBSON HAHN  A3</t>
  </si>
  <si>
    <t>ROBSON HAHN  A2</t>
  </si>
  <si>
    <t>ROBSON HAHN  A1</t>
  </si>
  <si>
    <t>RODRIGO FERNANDO SALVALAGGIO</t>
  </si>
  <si>
    <t>RODRIGO FERNANDO SALVALAGGIO  A1</t>
  </si>
  <si>
    <t>-25.649916186291073, -53.843236017415634</t>
  </si>
  <si>
    <t>ROGERIO BARABA</t>
  </si>
  <si>
    <t>ROGERIO BARABA  A1</t>
  </si>
  <si>
    <t>ROGERIO BRANDINI</t>
  </si>
  <si>
    <t>ROGERIO BRANDINI  A2</t>
  </si>
  <si>
    <t>-25.39049686755584, -53.181415610388456</t>
  </si>
  <si>
    <t>ROGERIO BRANDINI  A1</t>
  </si>
  <si>
    <t>-25.39080930598271, -53.181440577943974</t>
  </si>
  <si>
    <t>ROZELIO ROSTIROLLA</t>
  </si>
  <si>
    <t>ROZELIO ROSTIROLLA  A2</t>
  </si>
  <si>
    <t>-25.134814312570168, -53.320824160922776</t>
  </si>
  <si>
    <t>ROBERTO RIVELINO LOPES MAESTRE</t>
  </si>
  <si>
    <t>ROBERTO RIVELINO LOPES MAESTRE A1</t>
  </si>
  <si>
    <t>SÃO PEDRO DO IGUAÇU</t>
  </si>
  <si>
    <t>-24.940681, -53.842992</t>
  </si>
  <si>
    <t>ROZELIO ROSTIROLLA  A1</t>
  </si>
  <si>
    <t>ROBERTO RIVELINO LOPES MAESTRE A2</t>
  </si>
  <si>
    <t>ROZELIO ROSTIROLLA  A3</t>
  </si>
  <si>
    <t>SERGIO BREDLAU</t>
  </si>
  <si>
    <t>SERGIO BREDLAU  A2</t>
  </si>
  <si>
    <t>-24.482654957796413, -53.957370328264915</t>
  </si>
  <si>
    <t>SERGIO BREDLAU  A1</t>
  </si>
  <si>
    <t>SERGIO KIELING</t>
  </si>
  <si>
    <t>SERGIO KIELING  A1</t>
  </si>
  <si>
    <t>SERGIO KIELING  A2</t>
  </si>
  <si>
    <t>SERGIO KIELING  A3</t>
  </si>
  <si>
    <t>SERGIO LUIZ SALLET</t>
  </si>
  <si>
    <t>SERGIO LUIZ SALLET  A1</t>
  </si>
  <si>
    <t>-24.766745136083102, -53.890378357529606</t>
  </si>
  <si>
    <t>SERGIO TARCISIO LUNKES</t>
  </si>
  <si>
    <t>SERGIO TARCISIO LUNKES  A1</t>
  </si>
  <si>
    <t>-24.67419988408137, -53.833871606465046</t>
  </si>
  <si>
    <t>SERGIO TARCISIO LUNKES  A2</t>
  </si>
  <si>
    <t>SIDINEI DICKEL</t>
  </si>
  <si>
    <t>SIDINEI DICKEL  A2</t>
  </si>
  <si>
    <t>-25.45745796056228, -53.577994561294844</t>
  </si>
  <si>
    <t>ROGELIO KARVAT</t>
  </si>
  <si>
    <t>ROGELIO KARVAT  A1</t>
  </si>
  <si>
    <t>-24.955050633351227, -53.238538326382574</t>
  </si>
  <si>
    <t>SIDINEI DICKEL  A1</t>
  </si>
  <si>
    <t>-25.45764004809618, -53.57724823924063</t>
  </si>
  <si>
    <t>ROGELIO KARVAT  A2</t>
  </si>
  <si>
    <t>SILMAR SCHEIBNER E LAIZE LAUBE SCHEIBNER</t>
  </si>
  <si>
    <t>SILMAR SCHEIBNER E LAIZE LAUBE SCHEIBNER  A1</t>
  </si>
  <si>
    <t>-24.453358350530713, -53.94343243567567</t>
  </si>
  <si>
    <t>SILMAR SCHEIBNER E LAIZE LAUBE SCHEIBNER  A2</t>
  </si>
  <si>
    <t>ROQUE ANTONIAZZI</t>
  </si>
  <si>
    <t>ROQUE ANTONIAZZI A1</t>
  </si>
  <si>
    <t>-24.60061, -53.49791</t>
  </si>
  <si>
    <t>ROQUE ANTONIAZZI A2</t>
  </si>
  <si>
    <t>ROSEMIR PEROZZO</t>
  </si>
  <si>
    <t>ROSEMIR PEROZZO  A2</t>
  </si>
  <si>
    <t>-25.0921388888889, -53.3418611111111</t>
  </si>
  <si>
    <t>SILVERO RODRIGUES DA SILVA</t>
  </si>
  <si>
    <t>SILVERO RODRIGUES DA SILVA  A1</t>
  </si>
  <si>
    <t>-25.584378580106108, -53.760450026345396</t>
  </si>
  <si>
    <t>ROSEMIR PEROZZO  A1</t>
  </si>
  <si>
    <t>SELIO BRIXNER</t>
  </si>
  <si>
    <t>SELIO BRIXNER  A2</t>
  </si>
  <si>
    <t>SERGIO JOSE BORCHERT</t>
  </si>
  <si>
    <t>SERGIO JOSE BORCHERT  A1</t>
  </si>
  <si>
    <t>-24.803734823499266, -53.60859959786303</t>
  </si>
  <si>
    <t>TATIANE KESIA KAMEI BESAGIO</t>
  </si>
  <si>
    <t>TATIANE KESIA KAMEI BESAGIO  A1</t>
  </si>
  <si>
    <t>-24.86128853023084, -53.519783601772126</t>
  </si>
  <si>
    <t>TATIANE KESIA KAMEI BESAGIO  A2</t>
  </si>
  <si>
    <t>TELMO EDGAR ENGLERT</t>
  </si>
  <si>
    <t>TELMO EDGAR ENGLERT  A1</t>
  </si>
  <si>
    <t>-24.470543675167228, -53.97441746831522</t>
  </si>
  <si>
    <t>TELMO EDGAR ENGLERT  A2</t>
  </si>
  <si>
    <t>SIBELLY FINOTELLO DA SILVA</t>
  </si>
  <si>
    <t>SIBELLY FINOTELLO DA SILVA A1</t>
  </si>
  <si>
    <t>TELMO EDGAR ENGLERT  A3</t>
  </si>
  <si>
    <t>TIAGO DAPIEVE</t>
  </si>
  <si>
    <t>TIAGO DAPIEVE  A3</t>
  </si>
  <si>
    <t>-25.083339027058848, -53.864449735032906</t>
  </si>
  <si>
    <t>TIAGO DAPIEVE  A2</t>
  </si>
  <si>
    <t>TIAGO DAPIEVE  A1</t>
  </si>
  <si>
    <t>TIAGO LUIS ZERETZKI</t>
  </si>
  <si>
    <t>TIAGO LUIS ZERETZKI  A2</t>
  </si>
  <si>
    <t>-24.478196599796576, -53.93987931161361</t>
  </si>
  <si>
    <t>TIAGO LUIS ZERETZKI  A1</t>
  </si>
  <si>
    <t>VALDECIR ANDRE KACZMAREK</t>
  </si>
  <si>
    <t>VALDECIR ANDRE KACZMAREK  A1</t>
  </si>
  <si>
    <t>-25.06433561352258, -53.34310427428545</t>
  </si>
  <si>
    <t>VALDECIR ANDRE KACZMAREK  A2</t>
  </si>
  <si>
    <t>VALDECIR LUIZ MANFROI</t>
  </si>
  <si>
    <t>VALDECIR LUIZ MANFROI  A3</t>
  </si>
  <si>
    <t>-24.78582543801831, -53.77877325992151</t>
  </si>
  <si>
    <t>VALDECIR LUIZ MANFROI  A2</t>
  </si>
  <si>
    <t>VALDECIR LUIZ MANFROI  A1</t>
  </si>
  <si>
    <t>VALDEMIR CHAGAS DE MATOS</t>
  </si>
  <si>
    <t>VALDEMIR CHAGAS DE MATOS  A3</t>
  </si>
  <si>
    <t>-24.552070811536012, -54.179097534607884</t>
  </si>
  <si>
    <t>VALDEMIR CHAGAS DE MATOS  A2</t>
  </si>
  <si>
    <t>VALDEMIR CHAGAS DE MATOS  A1</t>
  </si>
  <si>
    <t>VALDEMIR CHAGAS DE MATOS  A4</t>
  </si>
  <si>
    <t>VALDEMIR POLIZELLI</t>
  </si>
  <si>
    <t>VALDEMIR POLIZELLI  A1</t>
  </si>
  <si>
    <t>-24.667331201574445, -53.703381966480755</t>
  </si>
  <si>
    <t>VALDIR LANGE</t>
  </si>
  <si>
    <t>VALDIR LANGE  A1</t>
  </si>
  <si>
    <t>-24.487265612019673, -53.846462910299344</t>
  </si>
  <si>
    <t>VALMIR WITTMANN</t>
  </si>
  <si>
    <t>VALMIR WITTMANN  A1</t>
  </si>
  <si>
    <t>-25.47420297217759, -53.526671975539685</t>
  </si>
  <si>
    <t>VALMOR ANTONIO BEBBER E VANIA RAIXZ RENGEL</t>
  </si>
  <si>
    <t>VALMOR ANTONIO BEBBER E VANIA RAIXZ RENGEL  A4</t>
  </si>
  <si>
    <t>-25.06724162845581, -53.41352923532584</t>
  </si>
  <si>
    <t>VALDEMOR VILLA</t>
  </si>
  <si>
    <t>VALDEMOR VILLA  A2</t>
  </si>
  <si>
    <t>-25.467662455925435, -53.553289776691024</t>
  </si>
  <si>
    <t>VALMOR ANTONIO BEBBER E VANIA RAIXZ RENGEL  A1</t>
  </si>
  <si>
    <t>VALDEMOR VILLA  A1</t>
  </si>
  <si>
    <t>-25.467044685620152, -53.55202195521601</t>
  </si>
  <si>
    <t>VALMOR ANTONIO BEBBER E VANIA RAIXZ RENGEL  A2</t>
  </si>
  <si>
    <t>VALMOR ANTONIO BEBBER E VANIA RAIXZ RENGEL  A3</t>
  </si>
  <si>
    <t>VALTER DE SOUZA CAZARI</t>
  </si>
  <si>
    <t>VALTER DE SOUZA CAZARI  A1</t>
  </si>
  <si>
    <t>-24.472337592968653, -53.58575531925999</t>
  </si>
  <si>
    <t>VALTER DE SOUZA CAZARI  A2</t>
  </si>
  <si>
    <t>VANDRE LUIS HERMANN</t>
  </si>
  <si>
    <t>VANDRE LUIS HERMANN  A2</t>
  </si>
  <si>
    <t>-24.64905724403753, -54.101586906211054</t>
  </si>
  <si>
    <t>VANDRE LUIS HERMANN  A1</t>
  </si>
  <si>
    <t>-24.649008233796014, -54.101590279397975</t>
  </si>
  <si>
    <t>VANIA RAIXZ RENGEL</t>
  </si>
  <si>
    <t>VANIA RAIXZ RENGEL  A1</t>
  </si>
  <si>
    <t>VILMAR JOSE MOTTIN</t>
  </si>
  <si>
    <t>VILMAR JOSE MOTTIN  A1</t>
  </si>
  <si>
    <t>-25.097427331205413, -53.350741316774496</t>
  </si>
  <si>
    <t>VILMAR JOSE MOTTIN A2</t>
  </si>
  <si>
    <t>VIVIANE MARIA VALTRICH</t>
  </si>
  <si>
    <t>VIVIANE MARIA VALTRICH  A1</t>
  </si>
  <si>
    <t>-24.679354136812453, -53.602310174953686</t>
  </si>
  <si>
    <t>WILANDO MUGGE</t>
  </si>
  <si>
    <t>WILANDO MUGGE  A1</t>
  </si>
  <si>
    <t>-24.443705311495638, -54.168792651225615</t>
  </si>
  <si>
    <t>VALTER DEMARCHI</t>
  </si>
  <si>
    <t>VALTER DEMARCHI  A1</t>
  </si>
  <si>
    <t>-26.193762844883647, -53.623108576566885</t>
  </si>
  <si>
    <t>WILANDO MUGGE  A2</t>
  </si>
  <si>
    <t>VALTER DEMARCHI  A2</t>
  </si>
  <si>
    <t>WILLIAM CESAR LEVANDOSKI</t>
  </si>
  <si>
    <t>WILLIAM CESAR LEVANDOSKI  A1</t>
  </si>
  <si>
    <t>-25.894945774854456, -53.67287040972589</t>
  </si>
  <si>
    <t>WOLNEI GINDRI</t>
  </si>
  <si>
    <t>WOLNEI GINDRI  A2</t>
  </si>
  <si>
    <t>-25.911447443987594, -53.79275571523338</t>
  </si>
  <si>
    <t>WOLNEI GINDRI  A1</t>
  </si>
  <si>
    <t>-25.910959553427833, -53.79235731270863</t>
  </si>
  <si>
    <t>WOLNEI GINDRI  A3</t>
  </si>
  <si>
    <t>-25.911188158020725, -53.795560895137235</t>
  </si>
  <si>
    <t>MARCELI EHLERT EISEN</t>
  </si>
  <si>
    <t>MARCELI EHLERT EISEN A1</t>
  </si>
  <si>
    <t>-24.451508, -53.997283</t>
  </si>
  <si>
    <t>MARCELI EHLERT EISEN A2</t>
  </si>
  <si>
    <t>MARCELI EHLERT EISEN A3</t>
  </si>
  <si>
    <t>MARCELI EHLERT EISEN A4</t>
  </si>
  <si>
    <t>ROMALDO DE OLIVEIRA A4</t>
  </si>
  <si>
    <t>MATHEUS HENRIQUE BRIXNER A3</t>
  </si>
  <si>
    <t>BRAGANEY</t>
  </si>
  <si>
    <t>-24.93344, -53.1824</t>
  </si>
  <si>
    <t>MATHEUS HENRIQUE BRIXNER A4</t>
  </si>
  <si>
    <t>ADEMIR LUIZ CHIUMENTO</t>
  </si>
  <si>
    <t>ADEMIR LUIZ CHIUMENTO A1</t>
  </si>
  <si>
    <t>PALOTINA</t>
  </si>
  <si>
    <t>-24.14402253890013, -53.93347458873965</t>
  </si>
  <si>
    <t>ANTONIO PONTILI FILHO</t>
  </si>
  <si>
    <t>ANTONIO PONTILI FILHO A1</t>
  </si>
  <si>
    <t>-24.765831943123, -53.932953154585356</t>
  </si>
  <si>
    <t>SERGIO ANTONINHO SPEZZIA A3</t>
  </si>
  <si>
    <t>ADEMIR LUIZ CHIUMENTO A2</t>
  </si>
  <si>
    <t>LUIS FERNANDO LUFT</t>
  </si>
  <si>
    <t>LUIS FERNANDO LUFT A1</t>
  </si>
  <si>
    <t>-25.686579958857735, -53.822951388144894</t>
  </si>
  <si>
    <t>LUIS FERNANDO LUFT A2</t>
  </si>
  <si>
    <t>LUIZ CARLOS DOMENEGUETE</t>
  </si>
  <si>
    <t>LUIZ CARLOS DOMENEGUETE A1</t>
  </si>
  <si>
    <t>ALTONIA</t>
  </si>
  <si>
    <t>-23.893286, -53.898953</t>
  </si>
  <si>
    <t>VALDIR IGNACIO BARBOSA</t>
  </si>
  <si>
    <t>VALDIR IGNACIO BARBOSA A1</t>
  </si>
  <si>
    <t>-23.866809, -53.878103</t>
  </si>
  <si>
    <t>VALDIR IGNACIO BARBOSA A2</t>
  </si>
  <si>
    <t>VALDIR IGNACIO BARBOSA A3</t>
  </si>
  <si>
    <t>ROBERT JAMES MACKINNON</t>
  </si>
  <si>
    <t>ROBERT JAMES MACKINNON A1</t>
  </si>
  <si>
    <t>-23.846946, -53.847429</t>
  </si>
  <si>
    <t>ROBERT JAMES MACKINNON A2</t>
  </si>
  <si>
    <t>OSMAR GIMENEZ STRELLING</t>
  </si>
  <si>
    <t>OSMAR GIMENEZ STRELLING A1</t>
  </si>
  <si>
    <t>-23.903662, -53.900499</t>
  </si>
  <si>
    <t>OSMAR GIMENEZ STRELLING A2</t>
  </si>
  <si>
    <t>LEONARDO PENACHIO GIMENEZ</t>
  </si>
  <si>
    <t>LEONARDO PENACHIO GIMENEZ A1</t>
  </si>
  <si>
    <t>-23.903167, -53.902775</t>
  </si>
  <si>
    <t>LEONARDO PENACHIO GIMENEZ A2</t>
  </si>
  <si>
    <t>EDINALDO CAMPANHOLI</t>
  </si>
  <si>
    <t>EDINALDO CAMPANHOLI A1</t>
  </si>
  <si>
    <t>ERIC FERNANDO COSTENARO</t>
  </si>
  <si>
    <t>ERIC FERNANDO COSTENARO A1</t>
  </si>
  <si>
    <t>-23.9095833333333, -53.8789722222222</t>
  </si>
  <si>
    <t>ADEMIR COSTENARO</t>
  </si>
  <si>
    <t>ADEMIR COSTENARO A1</t>
  </si>
  <si>
    <t>-23.9103333333333, -53.8792222222222</t>
  </si>
  <si>
    <t>341 - PLUSVAL AGROAVICOLA LTDA 06</t>
  </si>
  <si>
    <t>RODRIGO ROVER A1</t>
  </si>
  <si>
    <t>CAFEZAL DO SUL</t>
  </si>
  <si>
    <t>23°52'26.8"S 53°32'20.4"W</t>
  </si>
  <si>
    <t>RODRIGO ROVER A2</t>
  </si>
  <si>
    <t>GELSILENE VALVERDE DO NASCIMENTO A1</t>
  </si>
  <si>
    <t>GELSILENE VALVERDE DO NASCIMENTO A2</t>
  </si>
  <si>
    <t>ANA PAULA DALLAZOANA A1</t>
  </si>
  <si>
    <t>ANA PAULA DALLAZOANA A2</t>
  </si>
  <si>
    <t>JANICE MARIELI SOUZA A1</t>
  </si>
  <si>
    <t>JANICE MARIELI SOUZA A2</t>
  </si>
  <si>
    <t>NANCI FATIMA BASSETO A3</t>
  </si>
  <si>
    <t>UMUARAMA</t>
  </si>
  <si>
    <t>23°31'46.5"S 53°28'17.4"W</t>
  </si>
  <si>
    <t>CLODOALDO CAMPO A1</t>
  </si>
  <si>
    <t>ALTO PIQUIRI</t>
  </si>
  <si>
    <t>24°02'03.1"S 53°27'46.6"W</t>
  </si>
  <si>
    <t>CLODOALDO CAMPO A2</t>
  </si>
  <si>
    <t>CLODOALDO CAMPO A3</t>
  </si>
  <si>
    <t>EVELYN BIANCA DOS SANTOS A1</t>
  </si>
  <si>
    <t>EVELYN BIANCA DOS SANTOS A2</t>
  </si>
  <si>
    <t>SANDRA REGINA RODRIGUES</t>
  </si>
  <si>
    <t>23°56'12.4"S 53°30'37.0"W</t>
  </si>
  <si>
    <t>HUGO ANTONIO PEREIRA DE SOUZA</t>
  </si>
  <si>
    <t>ADEMAR MALACARNE A1</t>
  </si>
  <si>
    <t>IPORÃ</t>
  </si>
  <si>
    <t>23°59'34.3"S 53°46'00.6"W</t>
  </si>
  <si>
    <t>ADEMAR MALACARNE A2</t>
  </si>
  <si>
    <t>LUIZ CARLOS DOMENEGUETTI A1</t>
  </si>
  <si>
    <t>JESSICA RICCI CANDIDO</t>
  </si>
  <si>
    <t>JESSICA RICCI CANDIDO A1</t>
  </si>
  <si>
    <t>-24.402073, -53.552361</t>
  </si>
  <si>
    <t>JESSICA RICCI CANDIDO A2</t>
  </si>
  <si>
    <t>JESSICA RICCI CANDIDO A3</t>
  </si>
  <si>
    <t>OSMAR SCHENEIDER</t>
  </si>
  <si>
    <t>OSMAR SCHENEIDER A1</t>
  </si>
  <si>
    <t>-24.677763, -53.876703</t>
  </si>
  <si>
    <t>OSMAR SCHENEIDER A2</t>
  </si>
  <si>
    <t>OSMAR SCHENEIDER A3</t>
  </si>
  <si>
    <t>SERGIO DEPIERI</t>
  </si>
  <si>
    <t>SERGIO DEPIERI A1</t>
  </si>
  <si>
    <t>-24.5712777777778, -53.522</t>
  </si>
  <si>
    <t>SERGIO DEPIERI A2</t>
  </si>
  <si>
    <t>DANIELA CRISTINA LEVANDOSKI</t>
  </si>
  <si>
    <t>DANIELA CRISTINA LEVANDOSKI A1</t>
  </si>
  <si>
    <t>MILTON CESAR ARRUDA</t>
  </si>
  <si>
    <t>MILTON CESAR ARRUDA A1</t>
  </si>
  <si>
    <t>ENTRE RIOS DO OESTE</t>
  </si>
  <si>
    <t>-24.706961, -54.273321</t>
  </si>
  <si>
    <t>MILTON CESAR ARRUDA A2</t>
  </si>
  <si>
    <t>MILTON CESAR ARRUDA A3</t>
  </si>
  <si>
    <t>MILTON CESAR ARRUDA A4</t>
  </si>
  <si>
    <t>A5</t>
  </si>
  <si>
    <t>MILTON CESAR ARRUDA A5</t>
  </si>
  <si>
    <t>DIPLOMATA UFAR</t>
  </si>
  <si>
    <t>-24.9800688, -53.4908441</t>
  </si>
  <si>
    <t>DIPLOMATA</t>
  </si>
  <si>
    <t>JOSE ROSALIN BUCIOLI</t>
  </si>
  <si>
    <t>JOSE ROSALIN BUCIOLI A1</t>
  </si>
  <si>
    <t>-24.588760, -53.432496</t>
  </si>
  <si>
    <t>JOSE ROSALIN BUCIOLI A2</t>
  </si>
  <si>
    <t>JOSE ROSALIN BUCIOLI A3</t>
  </si>
  <si>
    <t>CARLOS CESAR FLAMIA</t>
  </si>
  <si>
    <t>CARLOS CESAR FLAMIA A1</t>
  </si>
  <si>
    <t>-24.3758611111111, -53.5013611111111</t>
  </si>
  <si>
    <t>CARLOS CESAR FLAMIA A2</t>
  </si>
  <si>
    <t>ARIETE LEILA KEIBER OSWALD</t>
  </si>
  <si>
    <t>ARIETE LEILA KEIBER OSWALD A1</t>
  </si>
  <si>
    <t>-24.593639, -54.162528</t>
  </si>
  <si>
    <t>GILBERTO DANIEL OSWALD</t>
  </si>
  <si>
    <t>GILBERTO DANIEL OSWALD A1</t>
  </si>
  <si>
    <t>GILBERTO DANIEL OSWALD A2</t>
  </si>
  <si>
    <t>CEANDRA CRISTINA DENEGA ZUTTION</t>
  </si>
  <si>
    <t>CEANDRA CRISTINA DENEGA ZUTTION A3</t>
  </si>
  <si>
    <t>CEANDRA CRISTINA DENEGA ZUTTION A1</t>
  </si>
  <si>
    <t>MARILETE BAREA VILLA</t>
  </si>
  <si>
    <t>MARILETE BAREA VILLA A1</t>
  </si>
  <si>
    <t>VALDENIR DICETI</t>
  </si>
  <si>
    <t>VALDENIR DICETI A1</t>
  </si>
  <si>
    <t>DARLEY CORTEZE</t>
  </si>
  <si>
    <t>DARLEY CORTEZE A1</t>
  </si>
  <si>
    <t>DIEGO GREGORIO KUNTZ</t>
  </si>
  <si>
    <t>DIEGO GREGORIO KUNTZ A2</t>
  </si>
  <si>
    <t>DIEGO GREGORIO KUNTZ A3</t>
  </si>
  <si>
    <t>CEANDRA CRISTINA DENEGA ZUTTION A2</t>
  </si>
  <si>
    <t>A6</t>
  </si>
  <si>
    <t>NATHALIA BASDAO RODRIGUES DA SILVA A6</t>
  </si>
  <si>
    <t>NATHALIA BASDAO RODRIGUES DA SILVA A3</t>
  </si>
  <si>
    <t>NATHALIA BASDAO RODRIGUES DA SILVA A4</t>
  </si>
  <si>
    <t>CLEISON ANTONIO PIETRZACK</t>
  </si>
  <si>
    <t>CLEISON ANTONIO PIETRZACK A1</t>
  </si>
  <si>
    <t>LEOCIR SIDNEI BORGES MOREIRA</t>
  </si>
  <si>
    <t>LEOCIR SIDNEI BORGES MOREIRA A1</t>
  </si>
  <si>
    <t>TELMO VENITES</t>
  </si>
  <si>
    <t>TELMO VENITES A1</t>
  </si>
  <si>
    <t>TELMO VENITES A2</t>
  </si>
  <si>
    <t>DARCI GAMBINI</t>
  </si>
  <si>
    <t>DARCI GAMBINI A1</t>
  </si>
  <si>
    <t>FORMOSA DO OESTE</t>
  </si>
  <si>
    <t>PLUMA AGROAVICOLA LTDA</t>
  </si>
  <si>
    <t>PLUMA AGROAVICOLA LTDA A1</t>
  </si>
  <si>
    <t>PLUMA AGROAVICOLA LTDA A2</t>
  </si>
  <si>
    <t>EDSON LUIZ MAZZOCATO A3</t>
  </si>
  <si>
    <t>EDSON LUIZ MAZZOCATO A3 A3</t>
  </si>
  <si>
    <t>EDSON LUIZ MAZZOCATO A2</t>
  </si>
  <si>
    <t>EDSON LUIZ MAZZOCATO A2 A2</t>
  </si>
  <si>
    <t>EDSON LUIZ MAZZOCATO A1</t>
  </si>
  <si>
    <t>EDSON LUIZ MAZZOCATO A1 A1</t>
  </si>
  <si>
    <t>MARCILEI JACOBSEN PALAVER</t>
  </si>
  <si>
    <t>MARCILEI JACOBSEN PALAVER A2</t>
  </si>
  <si>
    <t>MARCILEI JACOBSEN PALAVER A3</t>
  </si>
  <si>
    <t>Tipo de carga</t>
  </si>
  <si>
    <t>CCD (R$/km)</t>
  </si>
  <si>
    <t>CC (R$ fixo)</t>
  </si>
  <si>
    <t>Granel sólido</t>
  </si>
  <si>
    <t>KM distancia</t>
  </si>
  <si>
    <t>R$ Mín</t>
  </si>
  <si>
    <t>Valor1</t>
  </si>
  <si>
    <t>R$/KM</t>
  </si>
  <si>
    <t>Valor CC</t>
  </si>
  <si>
    <t>Valor CCD</t>
  </si>
  <si>
    <t>Valor CTE</t>
  </si>
  <si>
    <t>SO</t>
  </si>
  <si>
    <t>U</t>
  </si>
  <si>
    <t>ENIR</t>
  </si>
  <si>
    <t>IVO SARTOR</t>
  </si>
  <si>
    <t xml:space="preserve">PLUMA 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</si>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</sst>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quotePrefix="1"/>
    <xf numFmtId="44" fontId="0" fillId="0" borderId="0" xfId="1" applyFont="1" applyFill="1"/>
    <xf numFmtId="44" fontId="0" fillId="0" borderId="0" xfId="1" applyFont="1"/>
    <xf numFmtId="44" fontId="0" fillId="0" borderId="0" xfId="0" applyNumberFormat="1"/>
    <xf numFmtId="44" fontId="2" fillId="0" borderId="0" xfId="1" applyFont="1"/>
    <xf numFmtId="44" fontId="2" fillId="0" borderId="0" xfId="1" applyFont="1" applyFill="1"/>
    <xf numFmtId="1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44" fontId="0" fillId="0" borderId="0" xfId="1" applyFont="1" applyAlignment="1">
      <alignment wrapText="1"/>
    </xf>
    <xf numFmtId="44" fontId="2" fillId="0" borderId="0" xfId="1" applyFont="1" applyAlignment="1">
      <alignment wrapText="1"/>
    </xf>
    <xf numFmtId="0" fontId="0" fillId="0" borderId="0" xfId="0" applyFill="1"/>
    <xf numFmtId="0" fontId="0" fillId="0" borderId="0" xfId="0" applyNumberFormat="1" applyFill="1"/>
    <xf numFmtId="44" fontId="0" fillId="0" borderId="0" xfId="0" applyNumberFormat="1" applyFill="1"/>
    <xf numFmtId="44" fontId="2" fillId="0" borderId="0" xfId="1" applyNumberFormat="1" applyFont="1" applyFill="1"/>
  </cellXfs>
  <cellStyles count="2">
    <cellStyle name="Moeda" xfId="1" builtinId="4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682D452B-45E8-4EB2-9BE7-E241B56FADDD}" autoFormatId="16" applyNumberFormats="0" applyBorderFormats="0" applyFontFormats="0" applyPatternFormats="0" applyAlignmentFormats="0" applyWidthHeightFormats="0">
  <queryTableRefresh nextId="13">
    <queryTableFields count="10">
      <queryTableField id="1" name="CLIFFOR" tableColumnId="1"/>
      <queryTableField id="2" name="PRODUTOR" tableColumnId="2"/>
      <queryTableField id="3" name="AVIÁRIO" tableColumnId="3"/>
      <queryTableField id="4" name="PRODUTOR TESTE" tableColumnId="4"/>
      <queryTableField id="5" name="MUNICÍPIO" tableColumnId="5"/>
      <queryTableField id="6" name="KM" tableColumnId="6"/>
      <queryTableField id="7" name="DISTÂNCIA" tableColumnId="7"/>
      <queryTableField id="8" name="COORDENADAS" tableColumnId="8"/>
      <queryTableField id="9" name="EMPRESA" tableColumnId="9"/>
      <queryTableField id="11" name="KM PARA PAGAMENTO DOS FRETE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8" xr16:uid="{C0796C06-8320-43D4-A235-4AA2CF82D1B2}" autoFormatId="16" applyNumberFormats="0" applyBorderFormats="0" applyFontFormats="0" applyPatternFormats="0" applyAlignmentFormats="0" applyWidthHeightFormats="0">
  <queryTableRefresh nextId="4">
    <queryTableFields count="3">
      <queryTableField id="1" name="Tipo de carga" tableColumnId="1"/>
      <queryTableField id="2" name="CCD (R$/km)" tableColumnId="2"/>
      <queryTableField id="3" name="CC (R$ fixo)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BAE08B0-935E-490C-9256-BED449D02678}" autoFormatId="16" applyNumberFormats="0" applyBorderFormats="0" applyFontFormats="0" applyPatternFormats="0" applyAlignmentFormats="0" applyWidthHeightFormats="0">
  <queryTableRefresh nextId="20" unboundColumnsRight="6">
    <queryTableFields count="13">
      <queryTableField id="1" name="CLIFFOR" tableColumnId="1"/>
      <queryTableField id="2" name="PRODUTOR" tableColumnId="2"/>
      <queryTableField id="3" name="AVIÁRIO" tableColumnId="3"/>
      <queryTableField id="5" name="MUNICÍPIO" tableColumnId="5"/>
      <queryTableField id="9" name="EMPRESA" tableColumnId="9"/>
      <queryTableField id="17" dataBound="0" tableColumnId="10"/>
      <queryTableField id="11" name="KM PARA PAGAMENTO DOS FRETES" tableColumnId="11"/>
      <queryTableField id="13" dataBound="0" tableColumnId="4"/>
      <queryTableField id="14" dataBound="0" tableColumnId="6"/>
      <queryTableField id="15" dataBound="0" tableColumnId="7"/>
      <queryTableField id="16" dataBound="0" tableColumnId="8"/>
      <queryTableField id="18" dataBound="0" tableColumnId="13"/>
      <queryTableField id="19" dataBound="0" tableColumnId="14"/>
    </queryTableFields>
    <queryTableDeletedFields count="4">
      <deletedField name="PRODUTOR TESTE"/>
      <deletedField name="COORDENADAS"/>
      <deletedField name="KM"/>
      <deletedField name="DISTÂNCI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C3C8A-92A7-431E-A63E-F80D3A932D7F}" name="DISTÂNCIA" displayName="DISTÂNCIA" ref="A1:J741" tableType="queryTable" totalsRowShown="0">
  <autoFilter ref="A1:J741" xr:uid="{518C3C8A-92A7-431E-A63E-F80D3A932D7F}"/>
  <tableColumns count="10">
    <tableColumn id="1" xr3:uid="{FF5AA312-6F5C-446B-8D89-8C397E5F12DC}" uniqueName="1" name="CLIFFOR" queryTableFieldId="1" dataDxfId="13"/>
    <tableColumn id="2" xr3:uid="{8D9436BD-B689-4A38-B7E3-8444C9E9591D}" uniqueName="2" name="PRODUTOR" queryTableFieldId="2" dataDxfId="12"/>
    <tableColumn id="3" xr3:uid="{DC6E384D-3A23-4B64-90BB-B0A813D16144}" uniqueName="3" name="AVIÁRIO" queryTableFieldId="3" dataDxfId="11"/>
    <tableColumn id="4" xr3:uid="{F9726AE2-0743-466D-AD6E-1E7712C39CE7}" uniqueName="4" name="PRODUTOR TESTE" queryTableFieldId="4" dataDxfId="10"/>
    <tableColumn id="5" xr3:uid="{E830CCC1-C977-4CE9-8968-8383A952331F}" uniqueName="5" name="MUNICÍPIO" queryTableFieldId="5" dataDxfId="9"/>
    <tableColumn id="6" xr3:uid="{0421C98B-8AA6-468D-B47F-3A98C9BB31D0}" uniqueName="6" name="KM" queryTableFieldId="6" dataDxfId="8"/>
    <tableColumn id="7" xr3:uid="{510A85F4-7ED5-4EE0-B080-EB254D542063}" uniqueName="7" name="DISTÂNCIA" queryTableFieldId="7" dataDxfId="7"/>
    <tableColumn id="8" xr3:uid="{33CA16CE-44CE-4D7D-A10D-B438CEE68C3A}" uniqueName="8" name="COORDENADAS" queryTableFieldId="8" dataDxfId="6"/>
    <tableColumn id="9" xr3:uid="{6A4534AA-98BC-484F-9950-D70B7E59F529}" uniqueName="9" name="EMPRESA" queryTableFieldId="9" dataDxfId="5"/>
    <tableColumn id="11" xr3:uid="{F5A50D2E-44F7-4440-A66D-0ECCE8066ECC}" uniqueName="11" name="KM PARA PAGAMENTO DOS FRETES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2D9C89-24BF-4DF2-9FF1-80417F2B306F}" name="Tabela_1" displayName="Tabela_1" ref="A1:C2" tableType="queryTable" totalsRowShown="0">
  <autoFilter ref="A1:C2" xr:uid="{742D9C89-24BF-4DF2-9FF1-80417F2B306F}"/>
  <tableColumns count="3">
    <tableColumn id="1" xr3:uid="{AE215728-C91B-4675-B6CE-1DC0B443077C}" uniqueName="1" name="Tipo de carga" queryTableFieldId="1" dataDxfId="4"/>
    <tableColumn id="2" xr3:uid="{F6D16475-EBA8-48C2-A4E8-85F2A7F3F814}" uniqueName="2" name="CCD (R$/km)" queryTableFieldId="2"/>
    <tableColumn id="3" xr3:uid="{15D6CA28-512D-4791-A7F2-1116B44ED4D3}" uniqueName="3" name="CC (R$ fixo)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2F9B3-7890-4835-92AE-EE0D9CC313AE}" name="DISTÂNCIA3" displayName="DISTÂNCIA3" ref="A1:M813" tableType="queryTable" totalsRowShown="0" headerRowDxfId="26">
  <autoFilter ref="A1:M813" xr:uid="{518C3C8A-92A7-431E-A63E-F80D3A932D7F}">
    <filterColumn colId="1">
      <filters>
        <filter val="MOACIR JOSE MORASKI"/>
      </filters>
    </filterColumn>
  </autoFilter>
  <sortState xmlns:xlrd2="http://schemas.microsoft.com/office/spreadsheetml/2017/richdata2" ref="A181:M247">
    <sortCondition ref="B1:B811"/>
  </sortState>
  <tableColumns count="13">
    <tableColumn id="1" xr3:uid="{CEC98C31-8F4F-4971-A907-748D582D006A}" uniqueName="1" name="CLIFFOR" queryTableFieldId="1" dataDxfId="25"/>
    <tableColumn id="2" xr3:uid="{DBF647CA-652A-4AF5-81B5-B8087BC771D2}" uniqueName="2" name="ENIR" queryTableFieldId="2" dataDxfId="24"/>
    <tableColumn id="3" xr3:uid="{BFF6BB52-E662-4ED8-80A8-35BE5C8BA5AD}" uniqueName="3" name="SO" queryTableFieldId="3" dataDxfId="23"/>
    <tableColumn id="5" xr3:uid="{3CDF0B0E-5116-4501-892F-EDE2416270E6}" uniqueName="5" name="MUNICÍPIO" queryTableFieldId="5" dataDxfId="22"/>
    <tableColumn id="9" xr3:uid="{AB3AED9C-AC42-4BEC-8D07-A57B8C656565}" uniqueName="9" name="EMPRESA" queryTableFieldId="9" dataDxfId="21"/>
    <tableColumn id="10" xr3:uid="{F941DE22-FE94-45BA-8D81-75DB9BB578F6}" uniqueName="10" name="KM distancia" queryTableFieldId="17" dataDxfId="20">
      <calculatedColumnFormula>DISTÂNCIA3[[#This Row],[KM PARA PAGAMENTO DOS FRETES]]/2</calculatedColumnFormula>
    </tableColumn>
    <tableColumn id="11" xr3:uid="{52DB8257-5B8B-4112-B1F0-D3A87D470507}" uniqueName="11" name="KM PARA PAGAMENTO DOS FRETES" queryTableFieldId="11"/>
    <tableColumn id="4" xr3:uid="{A1DDBF50-8CB3-472A-BA43-952279CFBEEB}" uniqueName="4" name="R$ Mín" queryTableFieldId="13" dataDxfId="19" dataCellStyle="Moeda"/>
    <tableColumn id="6" xr3:uid="{18E0FC19-82A6-48AB-98A1-2D5D20B32AC5}" uniqueName="6" name="Valor1" queryTableFieldId="14" dataDxfId="18" dataCellStyle="Moeda">
      <calculatedColumnFormula>IF(#REF!&lt;17200,DISTÂNCIA3[[#This Row],[KM PARA PAGAMENTO DOS FRETES]]*4.74,((#REF!/17200)*4.74)*DISTÂNCIA3[[#This Row],[KM PARA PAGAMENTO DOS FRETES]])</calculatedColumnFormula>
    </tableColumn>
    <tableColumn id="7" xr3:uid="{D230EC38-EE16-4B1A-8A09-B73E407DA8A6}" uniqueName="7" name="R$/KM" queryTableFieldId="15" dataDxfId="17">
      <calculatedColumnFormula>DISTÂNCIA3[[#This Row],[Valor CTE]]/DISTÂNCIA3[[#This Row],[KM PARA PAGAMENTO DOS FRETES]]</calculatedColumnFormula>
    </tableColumn>
    <tableColumn id="8" xr3:uid="{EE795C0A-2783-4184-957D-FDA1D76966EE}" uniqueName="8" name="Valor CC" queryTableFieldId="16" dataDxfId="16" dataCellStyle="Moeda">
      <calculatedColumnFormula>ROUND((F2*4.578)+194.44,2)</calculatedColumnFormula>
    </tableColumn>
    <tableColumn id="13" xr3:uid="{F66A46F3-FA9C-4A16-BC88-8A2AF040769F}" uniqueName="13" name="Valor CCD" queryTableFieldId="18" dataDxfId="15" dataCellStyle="Moeda">
      <calculatedColumnFormula>0.92*DISTÂNCIA3[[#This Row],[KM distancia]]*4.578</calculatedColumnFormula>
    </tableColumn>
    <tableColumn id="14" xr3:uid="{4F2F6F80-9840-4779-9861-0CFC9F6FF20D}" uniqueName="14" name="Valor CTE" queryTableFieldId="19" dataDxfId="14" dataCellStyle="Moeda">
      <calculatedColumnFormula>ROUND(((F2*4.578)+194.44)+(0.92*F2*4.578),2)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1CE2-C4C2-422C-9732-9AF5EB63FAA5}">
  <dimension ref="A1:J741"/>
  <sheetViews>
    <sheetView workbookViewId="0">
      <selection activeCell="D26" sqref="D26"/>
    </sheetView>
  </sheetViews>
  <sheetFormatPr defaultRowHeight="14.5" x14ac:dyDescent="0.35"/>
  <cols>
    <col min="1" max="1" width="10.453125" bestFit="1" customWidth="1"/>
    <col min="2" max="2" width="61.54296875" bestFit="1" customWidth="1"/>
    <col min="4" max="4" width="37" customWidth="1"/>
    <col min="5" max="5" width="29.26953125" bestFit="1" customWidth="1"/>
    <col min="8" max="8" width="39.54296875" bestFit="1" customWidth="1"/>
    <col min="9" max="9" width="11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111058</v>
      </c>
      <c r="B2" t="s">
        <v>10</v>
      </c>
      <c r="C2" t="s">
        <v>11</v>
      </c>
      <c r="D2" t="s">
        <v>12</v>
      </c>
      <c r="E2" t="s">
        <v>13</v>
      </c>
      <c r="F2">
        <v>54</v>
      </c>
      <c r="G2">
        <v>27</v>
      </c>
      <c r="H2" t="s">
        <v>14</v>
      </c>
      <c r="I2" t="s">
        <v>15</v>
      </c>
      <c r="J2">
        <v>54</v>
      </c>
    </row>
    <row r="3" spans="1:10" x14ac:dyDescent="0.35">
      <c r="A3">
        <v>29890</v>
      </c>
      <c r="B3" t="s">
        <v>16</v>
      </c>
      <c r="C3" t="s">
        <v>11</v>
      </c>
      <c r="D3" t="s">
        <v>17</v>
      </c>
      <c r="E3" t="s">
        <v>18</v>
      </c>
      <c r="F3">
        <v>331</v>
      </c>
      <c r="G3">
        <v>178</v>
      </c>
      <c r="H3" t="s">
        <v>19</v>
      </c>
      <c r="I3" t="s">
        <v>20</v>
      </c>
      <c r="J3">
        <v>331</v>
      </c>
    </row>
    <row r="4" spans="1:10" x14ac:dyDescent="0.35">
      <c r="A4">
        <v>5365040</v>
      </c>
      <c r="B4" t="s">
        <v>21</v>
      </c>
      <c r="C4" t="s">
        <v>11</v>
      </c>
      <c r="D4" t="s">
        <v>22</v>
      </c>
      <c r="E4" t="s">
        <v>23</v>
      </c>
      <c r="F4">
        <v>106</v>
      </c>
      <c r="G4">
        <v>60</v>
      </c>
      <c r="H4" t="s">
        <v>24</v>
      </c>
      <c r="I4" t="s">
        <v>15</v>
      </c>
      <c r="J4">
        <v>106</v>
      </c>
    </row>
    <row r="5" spans="1:10" x14ac:dyDescent="0.35">
      <c r="A5">
        <v>29890</v>
      </c>
      <c r="B5" t="s">
        <v>16</v>
      </c>
      <c r="C5" t="s">
        <v>25</v>
      </c>
      <c r="D5" t="s">
        <v>26</v>
      </c>
      <c r="E5" t="s">
        <v>18</v>
      </c>
      <c r="F5">
        <v>331</v>
      </c>
      <c r="G5">
        <v>178</v>
      </c>
      <c r="H5" t="s">
        <v>27</v>
      </c>
      <c r="I5" t="s">
        <v>20</v>
      </c>
      <c r="J5">
        <v>331</v>
      </c>
    </row>
    <row r="6" spans="1:10" x14ac:dyDescent="0.35">
      <c r="A6">
        <v>30448</v>
      </c>
      <c r="B6" t="s">
        <v>28</v>
      </c>
      <c r="C6" t="s">
        <v>11</v>
      </c>
      <c r="D6" t="s">
        <v>29</v>
      </c>
      <c r="E6" t="s">
        <v>30</v>
      </c>
      <c r="F6">
        <v>226</v>
      </c>
      <c r="G6">
        <v>120</v>
      </c>
      <c r="H6" t="s">
        <v>31</v>
      </c>
      <c r="I6" t="s">
        <v>20</v>
      </c>
      <c r="J6">
        <v>226</v>
      </c>
    </row>
    <row r="7" spans="1:10" x14ac:dyDescent="0.35">
      <c r="A7">
        <v>29909</v>
      </c>
      <c r="B7" t="s">
        <v>32</v>
      </c>
      <c r="C7" t="s">
        <v>33</v>
      </c>
      <c r="D7" t="s">
        <v>34</v>
      </c>
      <c r="E7" t="s">
        <v>35</v>
      </c>
      <c r="F7">
        <v>276</v>
      </c>
      <c r="G7">
        <v>159</v>
      </c>
      <c r="H7" t="s">
        <v>36</v>
      </c>
      <c r="I7" t="s">
        <v>20</v>
      </c>
      <c r="J7">
        <v>276</v>
      </c>
    </row>
    <row r="8" spans="1:10" x14ac:dyDescent="0.35">
      <c r="A8">
        <v>30064</v>
      </c>
      <c r="B8" t="s">
        <v>37</v>
      </c>
      <c r="C8" t="s">
        <v>25</v>
      </c>
      <c r="D8" t="s">
        <v>38</v>
      </c>
      <c r="E8" t="s">
        <v>39</v>
      </c>
      <c r="F8">
        <v>260</v>
      </c>
      <c r="G8">
        <v>131</v>
      </c>
      <c r="H8" t="s">
        <v>40</v>
      </c>
      <c r="I8" t="s">
        <v>20</v>
      </c>
      <c r="J8">
        <v>260</v>
      </c>
    </row>
    <row r="9" spans="1:10" x14ac:dyDescent="0.35">
      <c r="A9">
        <v>30668</v>
      </c>
      <c r="B9" t="s">
        <v>41</v>
      </c>
      <c r="C9" t="s">
        <v>11</v>
      </c>
      <c r="D9" t="s">
        <v>42</v>
      </c>
      <c r="E9" t="s">
        <v>18</v>
      </c>
      <c r="F9">
        <v>336</v>
      </c>
      <c r="G9">
        <v>179</v>
      </c>
      <c r="H9" t="s">
        <v>43</v>
      </c>
      <c r="I9" t="s">
        <v>20</v>
      </c>
      <c r="J9">
        <v>336</v>
      </c>
    </row>
    <row r="10" spans="1:10" x14ac:dyDescent="0.35">
      <c r="A10">
        <v>30064</v>
      </c>
      <c r="B10" t="s">
        <v>37</v>
      </c>
      <c r="C10" t="s">
        <v>11</v>
      </c>
      <c r="D10" t="s">
        <v>44</v>
      </c>
      <c r="E10" t="s">
        <v>39</v>
      </c>
      <c r="F10">
        <v>260</v>
      </c>
      <c r="G10">
        <v>131</v>
      </c>
      <c r="H10" t="s">
        <v>45</v>
      </c>
      <c r="I10" t="s">
        <v>20</v>
      </c>
      <c r="J10">
        <v>260</v>
      </c>
    </row>
    <row r="11" spans="1:10" x14ac:dyDescent="0.35">
      <c r="A11">
        <v>30668</v>
      </c>
      <c r="B11" t="s">
        <v>41</v>
      </c>
      <c r="C11" t="s">
        <v>25</v>
      </c>
      <c r="D11" t="s">
        <v>46</v>
      </c>
      <c r="E11" t="s">
        <v>18</v>
      </c>
      <c r="F11">
        <v>336</v>
      </c>
      <c r="G11">
        <v>179</v>
      </c>
      <c r="H11" t="s">
        <v>47</v>
      </c>
      <c r="I11" t="s">
        <v>20</v>
      </c>
      <c r="J11">
        <v>336</v>
      </c>
    </row>
    <row r="12" spans="1:10" x14ac:dyDescent="0.35">
      <c r="A12">
        <v>5760739</v>
      </c>
      <c r="B12" t="s">
        <v>48</v>
      </c>
      <c r="C12" t="s">
        <v>11</v>
      </c>
      <c r="D12" t="s">
        <v>49</v>
      </c>
      <c r="E12" t="s">
        <v>13</v>
      </c>
      <c r="F12">
        <v>68</v>
      </c>
      <c r="G12">
        <v>34</v>
      </c>
      <c r="H12" t="s">
        <v>50</v>
      </c>
      <c r="I12" t="s">
        <v>15</v>
      </c>
      <c r="J12">
        <v>68</v>
      </c>
    </row>
    <row r="13" spans="1:10" x14ac:dyDescent="0.35">
      <c r="A13">
        <v>30668</v>
      </c>
      <c r="B13" t="s">
        <v>41</v>
      </c>
      <c r="C13" t="s">
        <v>33</v>
      </c>
      <c r="D13" t="s">
        <v>51</v>
      </c>
      <c r="E13" t="s">
        <v>18</v>
      </c>
      <c r="F13">
        <v>336</v>
      </c>
      <c r="G13">
        <v>179</v>
      </c>
      <c r="H13" t="s">
        <v>52</v>
      </c>
      <c r="I13" t="s">
        <v>20</v>
      </c>
      <c r="J13">
        <v>336</v>
      </c>
    </row>
    <row r="14" spans="1:10" x14ac:dyDescent="0.35">
      <c r="A14">
        <v>5760739</v>
      </c>
      <c r="B14" t="s">
        <v>48</v>
      </c>
      <c r="C14" t="s">
        <v>25</v>
      </c>
      <c r="D14" t="s">
        <v>53</v>
      </c>
      <c r="E14" t="s">
        <v>13</v>
      </c>
      <c r="F14">
        <v>68</v>
      </c>
      <c r="G14">
        <v>34</v>
      </c>
      <c r="H14" t="s">
        <v>50</v>
      </c>
      <c r="I14" t="s">
        <v>15</v>
      </c>
      <c r="J14">
        <v>68</v>
      </c>
    </row>
    <row r="15" spans="1:10" x14ac:dyDescent="0.35">
      <c r="A15">
        <v>30057</v>
      </c>
      <c r="B15" t="s">
        <v>54</v>
      </c>
      <c r="C15" t="s">
        <v>25</v>
      </c>
      <c r="D15" t="s">
        <v>55</v>
      </c>
      <c r="E15" t="s">
        <v>35</v>
      </c>
      <c r="F15">
        <v>290</v>
      </c>
      <c r="G15">
        <v>159</v>
      </c>
      <c r="H15" t="s">
        <v>56</v>
      </c>
      <c r="I15" t="s">
        <v>20</v>
      </c>
      <c r="J15">
        <v>290</v>
      </c>
    </row>
    <row r="16" spans="1:10" x14ac:dyDescent="0.35">
      <c r="A16">
        <v>30065</v>
      </c>
      <c r="B16" t="s">
        <v>57</v>
      </c>
      <c r="C16" t="s">
        <v>25</v>
      </c>
      <c r="D16" t="s">
        <v>58</v>
      </c>
      <c r="E16" t="s">
        <v>59</v>
      </c>
      <c r="F16">
        <v>254</v>
      </c>
      <c r="G16">
        <v>127</v>
      </c>
      <c r="H16" t="s">
        <v>60</v>
      </c>
      <c r="I16" t="s">
        <v>20</v>
      </c>
      <c r="J16">
        <v>254</v>
      </c>
    </row>
    <row r="17" spans="1:10" x14ac:dyDescent="0.35">
      <c r="A17">
        <v>30057</v>
      </c>
      <c r="B17" t="s">
        <v>54</v>
      </c>
      <c r="C17" t="s">
        <v>33</v>
      </c>
      <c r="D17" t="s">
        <v>61</v>
      </c>
      <c r="E17" t="s">
        <v>35</v>
      </c>
      <c r="F17">
        <v>290</v>
      </c>
      <c r="G17">
        <v>159</v>
      </c>
      <c r="H17" t="s">
        <v>62</v>
      </c>
      <c r="I17" t="s">
        <v>20</v>
      </c>
      <c r="J17">
        <v>290</v>
      </c>
    </row>
    <row r="18" spans="1:10" x14ac:dyDescent="0.35">
      <c r="A18">
        <v>30065</v>
      </c>
      <c r="B18" t="s">
        <v>57</v>
      </c>
      <c r="C18" t="s">
        <v>11</v>
      </c>
      <c r="D18" t="s">
        <v>63</v>
      </c>
      <c r="E18" t="s">
        <v>59</v>
      </c>
      <c r="F18">
        <v>254</v>
      </c>
      <c r="G18">
        <v>127</v>
      </c>
      <c r="H18" t="s">
        <v>64</v>
      </c>
      <c r="I18" t="s">
        <v>20</v>
      </c>
      <c r="J18">
        <v>254</v>
      </c>
    </row>
    <row r="19" spans="1:10" x14ac:dyDescent="0.35">
      <c r="A19">
        <v>30057</v>
      </c>
      <c r="B19" t="s">
        <v>54</v>
      </c>
      <c r="C19" t="s">
        <v>65</v>
      </c>
      <c r="D19" t="s">
        <v>66</v>
      </c>
      <c r="E19" t="s">
        <v>35</v>
      </c>
      <c r="F19">
        <v>290</v>
      </c>
      <c r="G19">
        <v>159</v>
      </c>
      <c r="H19" t="s">
        <v>67</v>
      </c>
      <c r="I19" t="s">
        <v>20</v>
      </c>
      <c r="J19">
        <v>290</v>
      </c>
    </row>
    <row r="20" spans="1:10" x14ac:dyDescent="0.35">
      <c r="A20">
        <v>5521955</v>
      </c>
      <c r="B20" t="s">
        <v>68</v>
      </c>
      <c r="C20" t="s">
        <v>11</v>
      </c>
      <c r="D20" t="s">
        <v>69</v>
      </c>
      <c r="E20" t="s">
        <v>70</v>
      </c>
      <c r="F20">
        <v>183</v>
      </c>
      <c r="G20">
        <v>107</v>
      </c>
      <c r="H20" t="s">
        <v>71</v>
      </c>
      <c r="I20" t="s">
        <v>15</v>
      </c>
      <c r="J20">
        <v>183</v>
      </c>
    </row>
    <row r="21" spans="1:10" x14ac:dyDescent="0.35">
      <c r="A21">
        <v>30057</v>
      </c>
      <c r="B21" t="s">
        <v>54</v>
      </c>
      <c r="C21" t="s">
        <v>72</v>
      </c>
      <c r="D21" t="s">
        <v>73</v>
      </c>
      <c r="E21" t="s">
        <v>35</v>
      </c>
      <c r="F21">
        <v>290</v>
      </c>
      <c r="G21">
        <v>159</v>
      </c>
      <c r="H21" t="s">
        <v>74</v>
      </c>
      <c r="I21" t="s">
        <v>20</v>
      </c>
      <c r="J21">
        <v>290</v>
      </c>
    </row>
    <row r="22" spans="1:10" x14ac:dyDescent="0.35">
      <c r="A22">
        <v>30049</v>
      </c>
      <c r="B22" t="s">
        <v>75</v>
      </c>
      <c r="C22" t="s">
        <v>11</v>
      </c>
      <c r="D22" t="s">
        <v>76</v>
      </c>
      <c r="E22" t="s">
        <v>39</v>
      </c>
      <c r="F22">
        <v>242</v>
      </c>
      <c r="G22">
        <v>121</v>
      </c>
      <c r="H22" t="s">
        <v>77</v>
      </c>
      <c r="I22" t="s">
        <v>20</v>
      </c>
      <c r="J22">
        <v>242</v>
      </c>
    </row>
    <row r="23" spans="1:10" x14ac:dyDescent="0.35">
      <c r="A23">
        <v>29909</v>
      </c>
      <c r="B23" t="s">
        <v>32</v>
      </c>
      <c r="C23" t="s">
        <v>11</v>
      </c>
      <c r="D23" t="s">
        <v>78</v>
      </c>
      <c r="E23" t="s">
        <v>35</v>
      </c>
      <c r="F23">
        <v>276</v>
      </c>
      <c r="G23">
        <v>159</v>
      </c>
      <c r="H23" t="s">
        <v>79</v>
      </c>
      <c r="I23" t="s">
        <v>20</v>
      </c>
      <c r="J23">
        <v>276</v>
      </c>
    </row>
    <row r="24" spans="1:10" x14ac:dyDescent="0.35">
      <c r="A24">
        <v>29441</v>
      </c>
      <c r="B24" t="s">
        <v>80</v>
      </c>
      <c r="C24" t="s">
        <v>11</v>
      </c>
      <c r="D24" t="s">
        <v>81</v>
      </c>
      <c r="E24" t="s">
        <v>59</v>
      </c>
      <c r="F24">
        <v>242</v>
      </c>
      <c r="G24">
        <v>121</v>
      </c>
      <c r="H24" t="s">
        <v>82</v>
      </c>
      <c r="I24" t="s">
        <v>20</v>
      </c>
      <c r="J24">
        <v>242</v>
      </c>
    </row>
    <row r="25" spans="1:10" x14ac:dyDescent="0.35">
      <c r="A25">
        <v>29909</v>
      </c>
      <c r="B25" t="s">
        <v>32</v>
      </c>
      <c r="C25" t="s">
        <v>25</v>
      </c>
      <c r="D25" t="s">
        <v>83</v>
      </c>
      <c r="E25" t="s">
        <v>35</v>
      </c>
      <c r="F25">
        <v>276</v>
      </c>
      <c r="G25">
        <v>159</v>
      </c>
      <c r="H25" t="s">
        <v>84</v>
      </c>
      <c r="I25" t="s">
        <v>20</v>
      </c>
      <c r="J25">
        <v>276</v>
      </c>
    </row>
    <row r="26" spans="1:10" x14ac:dyDescent="0.35">
      <c r="A26">
        <v>29441</v>
      </c>
      <c r="B26" t="s">
        <v>80</v>
      </c>
      <c r="C26" t="s">
        <v>25</v>
      </c>
      <c r="D26" t="s">
        <v>85</v>
      </c>
      <c r="E26" t="s">
        <v>59</v>
      </c>
      <c r="F26">
        <v>242</v>
      </c>
      <c r="G26">
        <v>121</v>
      </c>
      <c r="H26" t="s">
        <v>82</v>
      </c>
      <c r="I26" t="s">
        <v>20</v>
      </c>
      <c r="J26">
        <v>242</v>
      </c>
    </row>
    <row r="27" spans="1:10" x14ac:dyDescent="0.35">
      <c r="A27">
        <v>29970</v>
      </c>
      <c r="B27" t="s">
        <v>86</v>
      </c>
      <c r="C27" t="s">
        <v>33</v>
      </c>
      <c r="D27" t="s">
        <v>87</v>
      </c>
      <c r="E27" t="s">
        <v>35</v>
      </c>
      <c r="F27">
        <v>292</v>
      </c>
      <c r="G27">
        <v>159</v>
      </c>
      <c r="H27" t="s">
        <v>88</v>
      </c>
      <c r="I27" t="s">
        <v>20</v>
      </c>
      <c r="J27">
        <v>292</v>
      </c>
    </row>
    <row r="28" spans="1:10" x14ac:dyDescent="0.35">
      <c r="A28">
        <v>29884</v>
      </c>
      <c r="B28" t="s">
        <v>89</v>
      </c>
      <c r="C28" t="s">
        <v>11</v>
      </c>
      <c r="D28" t="s">
        <v>90</v>
      </c>
      <c r="E28" t="s">
        <v>39</v>
      </c>
      <c r="F28">
        <v>246</v>
      </c>
      <c r="G28">
        <v>123</v>
      </c>
      <c r="H28" t="s">
        <v>91</v>
      </c>
      <c r="I28" t="s">
        <v>20</v>
      </c>
      <c r="J28">
        <v>246</v>
      </c>
    </row>
    <row r="29" spans="1:10" x14ac:dyDescent="0.35">
      <c r="A29">
        <v>29970</v>
      </c>
      <c r="B29" t="s">
        <v>86</v>
      </c>
      <c r="C29" t="s">
        <v>25</v>
      </c>
      <c r="D29" t="s">
        <v>92</v>
      </c>
      <c r="E29" t="s">
        <v>35</v>
      </c>
      <c r="F29">
        <v>292</v>
      </c>
      <c r="G29">
        <v>159</v>
      </c>
      <c r="H29" t="s">
        <v>93</v>
      </c>
      <c r="I29" t="s">
        <v>20</v>
      </c>
      <c r="J29">
        <v>292</v>
      </c>
    </row>
    <row r="30" spans="1:10" x14ac:dyDescent="0.35">
      <c r="A30">
        <v>30067</v>
      </c>
      <c r="B30" t="s">
        <v>94</v>
      </c>
      <c r="C30" t="s">
        <v>11</v>
      </c>
      <c r="D30" t="s">
        <v>95</v>
      </c>
      <c r="E30" t="s">
        <v>96</v>
      </c>
      <c r="F30">
        <v>178</v>
      </c>
      <c r="G30">
        <v>89</v>
      </c>
      <c r="H30" t="s">
        <v>97</v>
      </c>
      <c r="I30" t="s">
        <v>20</v>
      </c>
      <c r="J30">
        <v>178</v>
      </c>
    </row>
    <row r="31" spans="1:10" x14ac:dyDescent="0.35">
      <c r="A31">
        <v>29970</v>
      </c>
      <c r="B31" t="s">
        <v>86</v>
      </c>
      <c r="C31" t="s">
        <v>11</v>
      </c>
      <c r="D31" t="s">
        <v>98</v>
      </c>
      <c r="E31" t="s">
        <v>35</v>
      </c>
      <c r="F31">
        <v>292</v>
      </c>
      <c r="G31">
        <v>159</v>
      </c>
      <c r="H31" t="s">
        <v>99</v>
      </c>
      <c r="I31" t="s">
        <v>20</v>
      </c>
      <c r="J31">
        <v>292</v>
      </c>
    </row>
    <row r="32" spans="1:10" x14ac:dyDescent="0.35">
      <c r="A32">
        <v>1087258</v>
      </c>
      <c r="B32" t="s">
        <v>100</v>
      </c>
      <c r="C32" t="s">
        <v>11</v>
      </c>
      <c r="D32" t="s">
        <v>101</v>
      </c>
      <c r="E32" t="s">
        <v>39</v>
      </c>
      <c r="F32">
        <v>206</v>
      </c>
      <c r="G32">
        <v>103</v>
      </c>
      <c r="H32" t="s">
        <v>102</v>
      </c>
      <c r="I32" t="s">
        <v>20</v>
      </c>
      <c r="J32">
        <v>206</v>
      </c>
    </row>
    <row r="33" spans="1:10" x14ac:dyDescent="0.35">
      <c r="A33">
        <v>44305</v>
      </c>
      <c r="B33" t="s">
        <v>103</v>
      </c>
      <c r="C33" t="s">
        <v>11</v>
      </c>
      <c r="D33" t="s">
        <v>104</v>
      </c>
      <c r="E33" t="s">
        <v>18</v>
      </c>
      <c r="F33">
        <v>336</v>
      </c>
      <c r="G33">
        <v>184</v>
      </c>
      <c r="H33" t="s">
        <v>105</v>
      </c>
      <c r="I33" t="s">
        <v>20</v>
      </c>
      <c r="J33">
        <v>336</v>
      </c>
    </row>
    <row r="34" spans="1:10" x14ac:dyDescent="0.35">
      <c r="B34" t="s">
        <v>106</v>
      </c>
      <c r="C34" t="s">
        <v>72</v>
      </c>
      <c r="D34" t="s">
        <v>107</v>
      </c>
      <c r="E34" t="s">
        <v>108</v>
      </c>
      <c r="F34">
        <v>155</v>
      </c>
      <c r="G34">
        <v>78</v>
      </c>
      <c r="H34" t="s">
        <v>109</v>
      </c>
      <c r="I34" t="s">
        <v>15</v>
      </c>
      <c r="J34">
        <v>155</v>
      </c>
    </row>
    <row r="35" spans="1:10" x14ac:dyDescent="0.35">
      <c r="A35">
        <v>29436</v>
      </c>
      <c r="B35" t="s">
        <v>110</v>
      </c>
      <c r="C35" t="s">
        <v>11</v>
      </c>
      <c r="D35" t="s">
        <v>111</v>
      </c>
      <c r="E35" t="s">
        <v>18</v>
      </c>
      <c r="F35">
        <v>333</v>
      </c>
      <c r="G35">
        <v>183</v>
      </c>
      <c r="H35" t="s">
        <v>112</v>
      </c>
      <c r="I35" t="s">
        <v>20</v>
      </c>
      <c r="J35">
        <v>333</v>
      </c>
    </row>
    <row r="36" spans="1:10" x14ac:dyDescent="0.35">
      <c r="B36" t="s">
        <v>106</v>
      </c>
      <c r="C36" t="s">
        <v>33</v>
      </c>
      <c r="D36" t="s">
        <v>113</v>
      </c>
      <c r="E36" t="s">
        <v>108</v>
      </c>
      <c r="F36">
        <v>155</v>
      </c>
      <c r="G36">
        <v>78</v>
      </c>
      <c r="H36" t="s">
        <v>109</v>
      </c>
      <c r="I36" t="s">
        <v>15</v>
      </c>
      <c r="J36">
        <v>155</v>
      </c>
    </row>
    <row r="37" spans="1:10" x14ac:dyDescent="0.35">
      <c r="A37">
        <v>29910</v>
      </c>
      <c r="B37" t="s">
        <v>114</v>
      </c>
      <c r="C37" t="s">
        <v>11</v>
      </c>
      <c r="D37" t="s">
        <v>115</v>
      </c>
      <c r="E37" t="s">
        <v>35</v>
      </c>
      <c r="F37">
        <v>323</v>
      </c>
      <c r="G37">
        <v>166</v>
      </c>
      <c r="H37" t="s">
        <v>116</v>
      </c>
      <c r="I37" t="s">
        <v>20</v>
      </c>
      <c r="J37">
        <v>323</v>
      </c>
    </row>
    <row r="38" spans="1:10" x14ac:dyDescent="0.35">
      <c r="A38">
        <v>1123572</v>
      </c>
      <c r="B38" t="s">
        <v>117</v>
      </c>
      <c r="C38" t="s">
        <v>11</v>
      </c>
      <c r="D38" t="s">
        <v>118</v>
      </c>
      <c r="E38" t="s">
        <v>39</v>
      </c>
      <c r="F38">
        <v>260</v>
      </c>
      <c r="G38">
        <v>130</v>
      </c>
      <c r="H38" t="s">
        <v>119</v>
      </c>
      <c r="I38" t="s">
        <v>20</v>
      </c>
      <c r="J38">
        <v>260</v>
      </c>
    </row>
    <row r="39" spans="1:10" x14ac:dyDescent="0.35">
      <c r="A39">
        <v>30060</v>
      </c>
      <c r="B39" t="s">
        <v>120</v>
      </c>
      <c r="C39" t="s">
        <v>11</v>
      </c>
      <c r="D39" t="s">
        <v>121</v>
      </c>
      <c r="E39" t="s">
        <v>18</v>
      </c>
      <c r="F39">
        <v>338</v>
      </c>
      <c r="G39">
        <v>184</v>
      </c>
      <c r="H39" t="s">
        <v>122</v>
      </c>
      <c r="I39" t="s">
        <v>20</v>
      </c>
      <c r="J39">
        <v>338</v>
      </c>
    </row>
    <row r="40" spans="1:10" x14ac:dyDescent="0.35">
      <c r="A40">
        <v>58390</v>
      </c>
      <c r="B40" t="s">
        <v>123</v>
      </c>
      <c r="C40" t="s">
        <v>11</v>
      </c>
      <c r="D40" t="s">
        <v>124</v>
      </c>
      <c r="E40" t="s">
        <v>18</v>
      </c>
      <c r="F40">
        <v>338</v>
      </c>
      <c r="G40">
        <v>166</v>
      </c>
      <c r="H40" t="s">
        <v>125</v>
      </c>
      <c r="I40" t="s">
        <v>20</v>
      </c>
      <c r="J40">
        <v>338</v>
      </c>
    </row>
    <row r="41" spans="1:10" x14ac:dyDescent="0.35">
      <c r="A41">
        <v>30478</v>
      </c>
      <c r="B41" t="s">
        <v>126</v>
      </c>
      <c r="C41" t="s">
        <v>11</v>
      </c>
      <c r="D41" t="s">
        <v>127</v>
      </c>
      <c r="E41" t="s">
        <v>18</v>
      </c>
      <c r="F41">
        <v>325</v>
      </c>
      <c r="G41">
        <v>172</v>
      </c>
      <c r="H41" t="s">
        <v>128</v>
      </c>
      <c r="I41" t="s">
        <v>20</v>
      </c>
      <c r="J41">
        <v>325</v>
      </c>
    </row>
    <row r="42" spans="1:10" x14ac:dyDescent="0.35">
      <c r="A42">
        <v>4390792</v>
      </c>
      <c r="B42" t="s">
        <v>129</v>
      </c>
      <c r="C42" t="s">
        <v>25</v>
      </c>
      <c r="D42" t="s">
        <v>130</v>
      </c>
      <c r="E42" t="s">
        <v>23</v>
      </c>
      <c r="F42">
        <v>126</v>
      </c>
      <c r="G42">
        <v>63</v>
      </c>
      <c r="H42" t="s">
        <v>131</v>
      </c>
      <c r="I42" t="s">
        <v>15</v>
      </c>
      <c r="J42">
        <v>126</v>
      </c>
    </row>
    <row r="43" spans="1:10" x14ac:dyDescent="0.35">
      <c r="A43">
        <v>30478</v>
      </c>
      <c r="B43" t="s">
        <v>126</v>
      </c>
      <c r="C43" t="s">
        <v>25</v>
      </c>
      <c r="D43" t="s">
        <v>132</v>
      </c>
      <c r="E43" t="s">
        <v>18</v>
      </c>
      <c r="F43">
        <v>325</v>
      </c>
      <c r="G43">
        <v>172</v>
      </c>
      <c r="H43" t="s">
        <v>133</v>
      </c>
      <c r="I43" t="s">
        <v>20</v>
      </c>
      <c r="J43">
        <v>325</v>
      </c>
    </row>
    <row r="44" spans="1:10" x14ac:dyDescent="0.35">
      <c r="A44">
        <v>4390792</v>
      </c>
      <c r="B44" t="s">
        <v>129</v>
      </c>
      <c r="C44" t="s">
        <v>11</v>
      </c>
      <c r="D44" t="s">
        <v>134</v>
      </c>
      <c r="E44" t="s">
        <v>23</v>
      </c>
      <c r="F44">
        <v>126</v>
      </c>
      <c r="G44">
        <v>63</v>
      </c>
      <c r="H44" t="s">
        <v>131</v>
      </c>
      <c r="I44" t="s">
        <v>15</v>
      </c>
      <c r="J44">
        <v>126</v>
      </c>
    </row>
    <row r="45" spans="1:10" x14ac:dyDescent="0.35">
      <c r="A45">
        <v>1147641</v>
      </c>
      <c r="B45" t="s">
        <v>135</v>
      </c>
      <c r="C45" t="s">
        <v>25</v>
      </c>
      <c r="D45" t="s">
        <v>136</v>
      </c>
      <c r="E45" t="s">
        <v>18</v>
      </c>
      <c r="F45">
        <v>321</v>
      </c>
      <c r="G45">
        <v>170</v>
      </c>
      <c r="H45" t="s">
        <v>137</v>
      </c>
      <c r="I45" t="s">
        <v>20</v>
      </c>
      <c r="J45">
        <v>321</v>
      </c>
    </row>
    <row r="46" spans="1:10" x14ac:dyDescent="0.35">
      <c r="A46">
        <v>30047</v>
      </c>
      <c r="B46" t="s">
        <v>138</v>
      </c>
      <c r="C46" t="s">
        <v>11</v>
      </c>
      <c r="D46" t="s">
        <v>139</v>
      </c>
      <c r="E46" t="s">
        <v>59</v>
      </c>
      <c r="F46">
        <v>260</v>
      </c>
      <c r="G46">
        <v>130</v>
      </c>
      <c r="H46" t="s">
        <v>140</v>
      </c>
      <c r="I46" t="s">
        <v>20</v>
      </c>
      <c r="J46">
        <v>260</v>
      </c>
    </row>
    <row r="47" spans="1:10" x14ac:dyDescent="0.35">
      <c r="A47">
        <v>1147641</v>
      </c>
      <c r="B47" t="s">
        <v>135</v>
      </c>
      <c r="C47" t="s">
        <v>33</v>
      </c>
      <c r="D47" t="s">
        <v>141</v>
      </c>
      <c r="E47" t="s">
        <v>18</v>
      </c>
      <c r="F47">
        <v>321</v>
      </c>
      <c r="G47">
        <v>170</v>
      </c>
      <c r="H47" t="s">
        <v>142</v>
      </c>
      <c r="I47" t="s">
        <v>20</v>
      </c>
      <c r="J47">
        <v>321</v>
      </c>
    </row>
    <row r="48" spans="1:10" x14ac:dyDescent="0.35">
      <c r="A48">
        <v>29421</v>
      </c>
      <c r="B48" t="s">
        <v>143</v>
      </c>
      <c r="C48" t="s">
        <v>11</v>
      </c>
      <c r="D48" t="s">
        <v>144</v>
      </c>
      <c r="E48" t="s">
        <v>145</v>
      </c>
      <c r="F48">
        <v>138</v>
      </c>
      <c r="G48">
        <v>72</v>
      </c>
      <c r="H48" t="s">
        <v>146</v>
      </c>
      <c r="I48" t="s">
        <v>20</v>
      </c>
      <c r="J48">
        <v>138</v>
      </c>
    </row>
    <row r="49" spans="1:10" x14ac:dyDescent="0.35">
      <c r="A49">
        <v>1147641</v>
      </c>
      <c r="B49" t="s">
        <v>135</v>
      </c>
      <c r="C49" t="s">
        <v>72</v>
      </c>
      <c r="D49" t="s">
        <v>147</v>
      </c>
      <c r="E49" t="s">
        <v>18</v>
      </c>
      <c r="F49">
        <v>321</v>
      </c>
      <c r="G49">
        <v>170</v>
      </c>
      <c r="H49" t="s">
        <v>148</v>
      </c>
      <c r="I49" t="s">
        <v>20</v>
      </c>
      <c r="J49">
        <v>321</v>
      </c>
    </row>
    <row r="50" spans="1:10" x14ac:dyDescent="0.35">
      <c r="A50">
        <v>41542</v>
      </c>
      <c r="B50" t="s">
        <v>149</v>
      </c>
      <c r="C50" t="s">
        <v>11</v>
      </c>
      <c r="D50" t="s">
        <v>150</v>
      </c>
      <c r="E50" t="s">
        <v>39</v>
      </c>
      <c r="F50">
        <v>263</v>
      </c>
      <c r="G50">
        <v>133</v>
      </c>
      <c r="H50" t="s">
        <v>151</v>
      </c>
      <c r="I50" t="s">
        <v>20</v>
      </c>
      <c r="J50">
        <v>263</v>
      </c>
    </row>
    <row r="51" spans="1:10" x14ac:dyDescent="0.35">
      <c r="A51">
        <v>1147641</v>
      </c>
      <c r="B51" t="s">
        <v>135</v>
      </c>
      <c r="C51" t="s">
        <v>11</v>
      </c>
      <c r="D51" t="s">
        <v>152</v>
      </c>
      <c r="E51" t="s">
        <v>18</v>
      </c>
      <c r="F51">
        <v>321</v>
      </c>
      <c r="G51">
        <v>170</v>
      </c>
      <c r="H51" t="s">
        <v>153</v>
      </c>
      <c r="I51" t="s">
        <v>20</v>
      </c>
      <c r="J51">
        <v>321</v>
      </c>
    </row>
    <row r="52" spans="1:10" x14ac:dyDescent="0.35">
      <c r="A52">
        <v>63561</v>
      </c>
      <c r="B52" t="s">
        <v>154</v>
      </c>
      <c r="C52" t="s">
        <v>11</v>
      </c>
      <c r="D52" t="s">
        <v>155</v>
      </c>
      <c r="E52" t="s">
        <v>39</v>
      </c>
      <c r="F52">
        <v>243</v>
      </c>
      <c r="G52">
        <v>123</v>
      </c>
      <c r="H52" t="s">
        <v>156</v>
      </c>
      <c r="I52" t="s">
        <v>20</v>
      </c>
      <c r="J52">
        <v>243</v>
      </c>
    </row>
    <row r="53" spans="1:10" x14ac:dyDescent="0.35">
      <c r="A53">
        <v>29442</v>
      </c>
      <c r="B53" t="s">
        <v>157</v>
      </c>
      <c r="C53" t="s">
        <v>158</v>
      </c>
      <c r="D53" t="s">
        <v>159</v>
      </c>
      <c r="E53" t="s">
        <v>35</v>
      </c>
      <c r="F53">
        <v>310</v>
      </c>
      <c r="G53">
        <v>170</v>
      </c>
      <c r="H53" t="s">
        <v>160</v>
      </c>
      <c r="I53" t="s">
        <v>20</v>
      </c>
      <c r="J53">
        <v>310</v>
      </c>
    </row>
    <row r="54" spans="1:10" x14ac:dyDescent="0.35">
      <c r="A54">
        <v>63561</v>
      </c>
      <c r="B54" t="s">
        <v>154</v>
      </c>
      <c r="C54" t="s">
        <v>25</v>
      </c>
      <c r="D54" t="s">
        <v>161</v>
      </c>
      <c r="E54" t="s">
        <v>39</v>
      </c>
      <c r="F54">
        <v>243</v>
      </c>
      <c r="G54">
        <v>123</v>
      </c>
      <c r="H54" t="s">
        <v>162</v>
      </c>
      <c r="I54" t="s">
        <v>20</v>
      </c>
      <c r="J54">
        <v>243</v>
      </c>
    </row>
    <row r="55" spans="1:10" x14ac:dyDescent="0.35">
      <c r="A55">
        <v>29442</v>
      </c>
      <c r="B55" t="s">
        <v>157</v>
      </c>
      <c r="C55" t="s">
        <v>163</v>
      </c>
      <c r="D55" t="s">
        <v>164</v>
      </c>
      <c r="E55" t="s">
        <v>35</v>
      </c>
      <c r="F55">
        <v>310</v>
      </c>
      <c r="G55">
        <v>170</v>
      </c>
      <c r="H55" t="s">
        <v>160</v>
      </c>
      <c r="I55" t="s">
        <v>20</v>
      </c>
      <c r="J55">
        <v>310</v>
      </c>
    </row>
    <row r="56" spans="1:10" x14ac:dyDescent="0.35">
      <c r="A56">
        <v>475440</v>
      </c>
      <c r="B56" t="s">
        <v>165</v>
      </c>
      <c r="C56" t="s">
        <v>25</v>
      </c>
      <c r="D56" t="s">
        <v>166</v>
      </c>
      <c r="E56" t="s">
        <v>167</v>
      </c>
      <c r="F56">
        <v>184</v>
      </c>
      <c r="G56">
        <v>94</v>
      </c>
      <c r="H56" t="s">
        <v>168</v>
      </c>
      <c r="I56" t="s">
        <v>15</v>
      </c>
      <c r="J56">
        <v>184</v>
      </c>
    </row>
    <row r="57" spans="1:10" x14ac:dyDescent="0.35">
      <c r="A57">
        <v>29442</v>
      </c>
      <c r="B57" t="s">
        <v>157</v>
      </c>
      <c r="C57" t="s">
        <v>169</v>
      </c>
      <c r="D57" t="s">
        <v>170</v>
      </c>
      <c r="E57" t="s">
        <v>35</v>
      </c>
      <c r="F57">
        <v>310</v>
      </c>
      <c r="G57">
        <v>170</v>
      </c>
      <c r="H57" t="s">
        <v>160</v>
      </c>
      <c r="I57" t="s">
        <v>20</v>
      </c>
      <c r="J57">
        <v>310</v>
      </c>
    </row>
    <row r="58" spans="1:10" x14ac:dyDescent="0.35">
      <c r="A58">
        <v>475440</v>
      </c>
      <c r="B58" t="s">
        <v>165</v>
      </c>
      <c r="C58" t="s">
        <v>11</v>
      </c>
      <c r="D58" t="s">
        <v>171</v>
      </c>
      <c r="E58" t="s">
        <v>167</v>
      </c>
      <c r="F58">
        <v>184</v>
      </c>
      <c r="G58">
        <v>94</v>
      </c>
      <c r="H58" t="s">
        <v>168</v>
      </c>
      <c r="I58" t="s">
        <v>15</v>
      </c>
      <c r="J58">
        <v>184</v>
      </c>
    </row>
    <row r="59" spans="1:10" x14ac:dyDescent="0.35">
      <c r="A59">
        <v>29905</v>
      </c>
      <c r="B59" t="s">
        <v>172</v>
      </c>
      <c r="C59" t="s">
        <v>11</v>
      </c>
      <c r="D59" t="s">
        <v>173</v>
      </c>
      <c r="E59" t="s">
        <v>35</v>
      </c>
      <c r="F59">
        <v>312</v>
      </c>
      <c r="G59">
        <v>156</v>
      </c>
      <c r="H59" t="s">
        <v>174</v>
      </c>
      <c r="I59" t="s">
        <v>20</v>
      </c>
      <c r="J59">
        <v>312</v>
      </c>
    </row>
    <row r="60" spans="1:10" x14ac:dyDescent="0.35">
      <c r="B60" t="s">
        <v>175</v>
      </c>
      <c r="C60" t="s">
        <v>11</v>
      </c>
      <c r="D60" t="s">
        <v>176</v>
      </c>
      <c r="E60" t="s">
        <v>177</v>
      </c>
      <c r="F60">
        <v>72</v>
      </c>
      <c r="G60">
        <v>36</v>
      </c>
      <c r="H60" t="s">
        <v>178</v>
      </c>
      <c r="I60" t="s">
        <v>15</v>
      </c>
      <c r="J60">
        <v>72</v>
      </c>
    </row>
    <row r="61" spans="1:10" x14ac:dyDescent="0.35">
      <c r="A61">
        <v>29905</v>
      </c>
      <c r="B61" t="s">
        <v>172</v>
      </c>
      <c r="C61" t="s">
        <v>25</v>
      </c>
      <c r="D61" t="s">
        <v>179</v>
      </c>
      <c r="E61" t="s">
        <v>35</v>
      </c>
      <c r="F61">
        <v>312</v>
      </c>
      <c r="G61">
        <v>156</v>
      </c>
      <c r="H61" t="s">
        <v>180</v>
      </c>
      <c r="I61" t="s">
        <v>20</v>
      </c>
      <c r="J61">
        <v>312</v>
      </c>
    </row>
    <row r="62" spans="1:10" x14ac:dyDescent="0.35">
      <c r="B62" t="s">
        <v>175</v>
      </c>
      <c r="C62" t="s">
        <v>25</v>
      </c>
      <c r="D62" t="s">
        <v>181</v>
      </c>
      <c r="E62" t="s">
        <v>177</v>
      </c>
      <c r="F62">
        <v>72</v>
      </c>
      <c r="G62">
        <v>36</v>
      </c>
      <c r="H62" t="s">
        <v>178</v>
      </c>
      <c r="I62" t="s">
        <v>15</v>
      </c>
      <c r="J62">
        <v>72</v>
      </c>
    </row>
    <row r="63" spans="1:10" x14ac:dyDescent="0.35">
      <c r="A63">
        <v>29905</v>
      </c>
      <c r="B63" t="s">
        <v>172</v>
      </c>
      <c r="C63" t="s">
        <v>33</v>
      </c>
      <c r="D63" t="s">
        <v>182</v>
      </c>
      <c r="E63" t="s">
        <v>35</v>
      </c>
      <c r="F63">
        <v>312</v>
      </c>
      <c r="G63">
        <v>156</v>
      </c>
      <c r="H63" t="s">
        <v>183</v>
      </c>
      <c r="I63" t="s">
        <v>20</v>
      </c>
      <c r="J63">
        <v>312</v>
      </c>
    </row>
    <row r="64" spans="1:10" x14ac:dyDescent="0.35">
      <c r="A64">
        <v>5335906</v>
      </c>
      <c r="B64" t="s">
        <v>184</v>
      </c>
      <c r="C64" t="s">
        <v>11</v>
      </c>
      <c r="D64" t="s">
        <v>185</v>
      </c>
      <c r="E64" t="s">
        <v>108</v>
      </c>
      <c r="F64">
        <v>151</v>
      </c>
      <c r="G64">
        <v>76</v>
      </c>
      <c r="H64" t="s">
        <v>186</v>
      </c>
      <c r="I64" t="s">
        <v>15</v>
      </c>
      <c r="J64">
        <v>151</v>
      </c>
    </row>
    <row r="65" spans="1:10" x14ac:dyDescent="0.35">
      <c r="A65">
        <v>29905</v>
      </c>
      <c r="B65" t="s">
        <v>172</v>
      </c>
      <c r="C65" t="s">
        <v>72</v>
      </c>
      <c r="D65" t="s">
        <v>187</v>
      </c>
      <c r="E65" t="s">
        <v>35</v>
      </c>
      <c r="F65">
        <v>312</v>
      </c>
      <c r="G65">
        <v>156</v>
      </c>
      <c r="H65" t="s">
        <v>183</v>
      </c>
      <c r="I65" t="s">
        <v>20</v>
      </c>
      <c r="J65">
        <v>312</v>
      </c>
    </row>
    <row r="66" spans="1:10" x14ac:dyDescent="0.35">
      <c r="A66">
        <v>29953</v>
      </c>
      <c r="B66" t="s">
        <v>188</v>
      </c>
      <c r="C66" t="s">
        <v>25</v>
      </c>
      <c r="D66" t="s">
        <v>189</v>
      </c>
      <c r="E66" t="s">
        <v>59</v>
      </c>
      <c r="F66">
        <v>237</v>
      </c>
      <c r="G66">
        <v>133</v>
      </c>
      <c r="H66" t="s">
        <v>190</v>
      </c>
      <c r="I66" t="s">
        <v>20</v>
      </c>
      <c r="J66">
        <v>237</v>
      </c>
    </row>
    <row r="67" spans="1:10" x14ac:dyDescent="0.35">
      <c r="A67">
        <v>5393000</v>
      </c>
      <c r="B67" t="s">
        <v>191</v>
      </c>
      <c r="C67" t="s">
        <v>25</v>
      </c>
      <c r="D67" t="s">
        <v>192</v>
      </c>
      <c r="E67" t="s">
        <v>13</v>
      </c>
      <c r="F67">
        <v>39</v>
      </c>
      <c r="G67">
        <v>20</v>
      </c>
      <c r="H67" t="s">
        <v>193</v>
      </c>
      <c r="I67" t="s">
        <v>15</v>
      </c>
      <c r="J67">
        <v>39</v>
      </c>
    </row>
    <row r="68" spans="1:10" x14ac:dyDescent="0.35">
      <c r="A68">
        <v>30621</v>
      </c>
      <c r="B68" t="s">
        <v>194</v>
      </c>
      <c r="C68" t="s">
        <v>25</v>
      </c>
      <c r="D68" t="s">
        <v>195</v>
      </c>
      <c r="E68" t="s">
        <v>196</v>
      </c>
      <c r="F68">
        <v>282</v>
      </c>
      <c r="G68">
        <v>143</v>
      </c>
      <c r="H68" t="s">
        <v>197</v>
      </c>
      <c r="I68" t="s">
        <v>20</v>
      </c>
      <c r="J68">
        <v>282</v>
      </c>
    </row>
    <row r="69" spans="1:10" x14ac:dyDescent="0.35">
      <c r="A69">
        <v>5393000</v>
      </c>
      <c r="B69" t="s">
        <v>191</v>
      </c>
      <c r="C69" t="s">
        <v>11</v>
      </c>
      <c r="D69" t="s">
        <v>198</v>
      </c>
      <c r="E69" t="s">
        <v>13</v>
      </c>
      <c r="F69">
        <v>39</v>
      </c>
      <c r="G69">
        <v>20</v>
      </c>
      <c r="H69" t="s">
        <v>193</v>
      </c>
      <c r="I69" t="s">
        <v>15</v>
      </c>
      <c r="J69">
        <v>39</v>
      </c>
    </row>
    <row r="70" spans="1:10" x14ac:dyDescent="0.35">
      <c r="A70">
        <v>30621</v>
      </c>
      <c r="B70" t="s">
        <v>194</v>
      </c>
      <c r="C70" t="s">
        <v>33</v>
      </c>
      <c r="D70" t="s">
        <v>199</v>
      </c>
      <c r="E70" t="s">
        <v>196</v>
      </c>
      <c r="F70">
        <v>282</v>
      </c>
      <c r="G70">
        <v>143</v>
      </c>
      <c r="H70" t="s">
        <v>200</v>
      </c>
      <c r="I70" t="s">
        <v>20</v>
      </c>
      <c r="J70">
        <v>282</v>
      </c>
    </row>
    <row r="71" spans="1:10" x14ac:dyDescent="0.35">
      <c r="A71">
        <v>30071</v>
      </c>
      <c r="B71" t="s">
        <v>201</v>
      </c>
      <c r="C71" t="s">
        <v>25</v>
      </c>
      <c r="D71" t="s">
        <v>202</v>
      </c>
      <c r="E71" t="s">
        <v>203</v>
      </c>
      <c r="F71">
        <v>269</v>
      </c>
      <c r="G71">
        <v>134</v>
      </c>
      <c r="H71" t="s">
        <v>204</v>
      </c>
      <c r="I71" t="s">
        <v>20</v>
      </c>
      <c r="J71">
        <v>269</v>
      </c>
    </row>
    <row r="72" spans="1:10" x14ac:dyDescent="0.35">
      <c r="A72">
        <v>30621</v>
      </c>
      <c r="B72" t="s">
        <v>194</v>
      </c>
      <c r="C72" t="s">
        <v>72</v>
      </c>
      <c r="D72" t="s">
        <v>205</v>
      </c>
      <c r="E72" t="s">
        <v>35</v>
      </c>
      <c r="F72">
        <v>282</v>
      </c>
      <c r="G72">
        <v>143</v>
      </c>
      <c r="H72" t="s">
        <v>206</v>
      </c>
      <c r="I72" t="s">
        <v>20</v>
      </c>
      <c r="J72">
        <v>282</v>
      </c>
    </row>
    <row r="73" spans="1:10" x14ac:dyDescent="0.35">
      <c r="A73">
        <v>30071</v>
      </c>
      <c r="B73" t="s">
        <v>201</v>
      </c>
      <c r="C73" t="s">
        <v>11</v>
      </c>
      <c r="D73" t="s">
        <v>207</v>
      </c>
      <c r="E73" t="s">
        <v>203</v>
      </c>
      <c r="F73">
        <v>269</v>
      </c>
      <c r="G73">
        <v>134</v>
      </c>
      <c r="H73" t="s">
        <v>208</v>
      </c>
      <c r="I73" t="s">
        <v>20</v>
      </c>
      <c r="J73">
        <v>269</v>
      </c>
    </row>
    <row r="74" spans="1:10" x14ac:dyDescent="0.35">
      <c r="A74">
        <v>30621</v>
      </c>
      <c r="B74" t="s">
        <v>194</v>
      </c>
      <c r="C74" t="s">
        <v>65</v>
      </c>
      <c r="D74" t="s">
        <v>209</v>
      </c>
      <c r="E74" t="s">
        <v>35</v>
      </c>
      <c r="F74">
        <v>282</v>
      </c>
      <c r="G74">
        <v>143</v>
      </c>
      <c r="H74" t="s">
        <v>210</v>
      </c>
      <c r="I74" t="s">
        <v>20</v>
      </c>
      <c r="J74">
        <v>282</v>
      </c>
    </row>
    <row r="75" spans="1:10" x14ac:dyDescent="0.35">
      <c r="A75">
        <v>5301947</v>
      </c>
      <c r="B75" t="s">
        <v>211</v>
      </c>
      <c r="C75" t="s">
        <v>11</v>
      </c>
      <c r="D75" t="s">
        <v>212</v>
      </c>
      <c r="E75" t="s">
        <v>167</v>
      </c>
      <c r="F75">
        <v>189</v>
      </c>
      <c r="G75">
        <v>96</v>
      </c>
      <c r="H75" t="s">
        <v>213</v>
      </c>
      <c r="I75" t="s">
        <v>15</v>
      </c>
      <c r="J75">
        <v>189</v>
      </c>
    </row>
    <row r="76" spans="1:10" x14ac:dyDescent="0.35">
      <c r="A76">
        <v>30621</v>
      </c>
      <c r="B76" t="s">
        <v>194</v>
      </c>
      <c r="C76" t="s">
        <v>214</v>
      </c>
      <c r="D76" t="s">
        <v>215</v>
      </c>
      <c r="E76" t="s">
        <v>35</v>
      </c>
      <c r="F76">
        <v>282</v>
      </c>
      <c r="G76">
        <v>143</v>
      </c>
      <c r="H76" t="s">
        <v>216</v>
      </c>
      <c r="I76" t="s">
        <v>20</v>
      </c>
      <c r="J76">
        <v>282</v>
      </c>
    </row>
    <row r="77" spans="1:10" x14ac:dyDescent="0.35">
      <c r="A77">
        <v>30046</v>
      </c>
      <c r="B77" t="s">
        <v>217</v>
      </c>
      <c r="C77" t="s">
        <v>11</v>
      </c>
      <c r="D77" t="s">
        <v>218</v>
      </c>
      <c r="E77" t="s">
        <v>13</v>
      </c>
      <c r="F77">
        <v>123</v>
      </c>
      <c r="G77">
        <v>62</v>
      </c>
      <c r="H77" t="s">
        <v>219</v>
      </c>
      <c r="I77" t="s">
        <v>20</v>
      </c>
      <c r="J77">
        <v>123</v>
      </c>
    </row>
    <row r="78" spans="1:10" x14ac:dyDescent="0.35">
      <c r="A78">
        <v>30621</v>
      </c>
      <c r="B78" t="s">
        <v>194</v>
      </c>
      <c r="C78" t="s">
        <v>11</v>
      </c>
      <c r="D78" t="s">
        <v>220</v>
      </c>
      <c r="E78" t="s">
        <v>196</v>
      </c>
      <c r="F78">
        <v>282</v>
      </c>
      <c r="G78">
        <v>143</v>
      </c>
      <c r="H78" t="s">
        <v>221</v>
      </c>
      <c r="I78" t="s">
        <v>20</v>
      </c>
      <c r="J78">
        <v>282</v>
      </c>
    </row>
    <row r="79" spans="1:10" x14ac:dyDescent="0.35">
      <c r="A79">
        <v>30046</v>
      </c>
      <c r="B79" t="s">
        <v>217</v>
      </c>
      <c r="C79" t="s">
        <v>163</v>
      </c>
      <c r="D79" t="s">
        <v>222</v>
      </c>
      <c r="E79" t="s">
        <v>13</v>
      </c>
      <c r="F79">
        <v>123</v>
      </c>
      <c r="G79">
        <v>62</v>
      </c>
      <c r="H79" t="s">
        <v>223</v>
      </c>
      <c r="I79" t="s">
        <v>20</v>
      </c>
      <c r="J79">
        <v>123</v>
      </c>
    </row>
    <row r="80" spans="1:10" x14ac:dyDescent="0.35">
      <c r="A80">
        <v>30077</v>
      </c>
      <c r="B80" t="s">
        <v>224</v>
      </c>
      <c r="C80" t="s">
        <v>11</v>
      </c>
      <c r="D80" t="s">
        <v>225</v>
      </c>
      <c r="E80" t="s">
        <v>39</v>
      </c>
      <c r="F80">
        <v>260</v>
      </c>
      <c r="G80">
        <v>131</v>
      </c>
      <c r="H80" t="s">
        <v>226</v>
      </c>
      <c r="I80" t="s">
        <v>20</v>
      </c>
      <c r="J80">
        <v>260</v>
      </c>
    </row>
    <row r="81" spans="1:10" x14ac:dyDescent="0.35">
      <c r="A81">
        <v>30046</v>
      </c>
      <c r="B81" t="s">
        <v>217</v>
      </c>
      <c r="C81" t="s">
        <v>25</v>
      </c>
      <c r="D81" t="s">
        <v>227</v>
      </c>
      <c r="E81" t="s">
        <v>13</v>
      </c>
      <c r="F81">
        <v>123</v>
      </c>
      <c r="G81">
        <v>62</v>
      </c>
      <c r="H81" t="s">
        <v>228</v>
      </c>
      <c r="I81" t="s">
        <v>20</v>
      </c>
      <c r="J81">
        <v>123</v>
      </c>
    </row>
    <row r="82" spans="1:10" x14ac:dyDescent="0.35">
      <c r="A82">
        <v>30042</v>
      </c>
      <c r="B82" t="s">
        <v>229</v>
      </c>
      <c r="C82" t="s">
        <v>11</v>
      </c>
      <c r="D82" t="s">
        <v>230</v>
      </c>
      <c r="E82" t="s">
        <v>39</v>
      </c>
      <c r="F82">
        <v>260</v>
      </c>
      <c r="G82">
        <v>131</v>
      </c>
      <c r="H82" t="s">
        <v>231</v>
      </c>
      <c r="I82" t="s">
        <v>20</v>
      </c>
      <c r="J82">
        <v>260</v>
      </c>
    </row>
    <row r="83" spans="1:10" x14ac:dyDescent="0.35">
      <c r="A83">
        <v>30046</v>
      </c>
      <c r="B83" t="s">
        <v>217</v>
      </c>
      <c r="C83" t="s">
        <v>33</v>
      </c>
      <c r="D83" t="s">
        <v>232</v>
      </c>
      <c r="E83" t="s">
        <v>13</v>
      </c>
      <c r="F83">
        <v>123</v>
      </c>
      <c r="G83">
        <v>62</v>
      </c>
      <c r="H83" t="s">
        <v>233</v>
      </c>
      <c r="I83" t="s">
        <v>20</v>
      </c>
      <c r="J83">
        <v>123</v>
      </c>
    </row>
    <row r="84" spans="1:10" x14ac:dyDescent="0.35">
      <c r="A84">
        <v>30042</v>
      </c>
      <c r="B84" t="s">
        <v>229</v>
      </c>
      <c r="C84" t="s">
        <v>25</v>
      </c>
      <c r="D84" t="s">
        <v>234</v>
      </c>
      <c r="E84" t="s">
        <v>39</v>
      </c>
      <c r="F84">
        <v>260</v>
      </c>
      <c r="G84">
        <v>131</v>
      </c>
      <c r="H84" t="s">
        <v>235</v>
      </c>
      <c r="I84" t="s">
        <v>20</v>
      </c>
      <c r="J84">
        <v>260</v>
      </c>
    </row>
    <row r="85" spans="1:10" x14ac:dyDescent="0.35">
      <c r="A85">
        <v>30042</v>
      </c>
      <c r="B85" t="s">
        <v>229</v>
      </c>
      <c r="C85" t="s">
        <v>33</v>
      </c>
      <c r="D85" t="s">
        <v>236</v>
      </c>
      <c r="E85" t="s">
        <v>39</v>
      </c>
      <c r="F85">
        <v>260</v>
      </c>
      <c r="G85">
        <v>131</v>
      </c>
      <c r="H85" t="s">
        <v>235</v>
      </c>
      <c r="I85" t="s">
        <v>20</v>
      </c>
      <c r="J85">
        <v>260</v>
      </c>
    </row>
    <row r="86" spans="1:10" x14ac:dyDescent="0.35">
      <c r="A86">
        <v>30046</v>
      </c>
      <c r="B86" t="s">
        <v>217</v>
      </c>
      <c r="C86" t="s">
        <v>72</v>
      </c>
      <c r="D86" t="s">
        <v>237</v>
      </c>
      <c r="E86" t="s">
        <v>13</v>
      </c>
      <c r="F86">
        <v>123</v>
      </c>
      <c r="G86">
        <v>62</v>
      </c>
      <c r="H86" t="s">
        <v>238</v>
      </c>
      <c r="I86" t="s">
        <v>20</v>
      </c>
      <c r="J86">
        <v>123</v>
      </c>
    </row>
    <row r="87" spans="1:10" x14ac:dyDescent="0.35">
      <c r="A87">
        <v>30073</v>
      </c>
      <c r="B87" t="s">
        <v>239</v>
      </c>
      <c r="C87" t="s">
        <v>11</v>
      </c>
      <c r="D87" t="s">
        <v>240</v>
      </c>
      <c r="E87" t="s">
        <v>196</v>
      </c>
      <c r="F87">
        <v>274</v>
      </c>
      <c r="G87">
        <v>143</v>
      </c>
      <c r="H87" t="s">
        <v>241</v>
      </c>
      <c r="I87" t="s">
        <v>20</v>
      </c>
      <c r="J87">
        <v>274</v>
      </c>
    </row>
    <row r="88" spans="1:10" x14ac:dyDescent="0.35">
      <c r="A88">
        <v>30046</v>
      </c>
      <c r="B88" t="s">
        <v>217</v>
      </c>
      <c r="C88" t="s">
        <v>242</v>
      </c>
      <c r="D88" t="s">
        <v>243</v>
      </c>
      <c r="E88" t="s">
        <v>13</v>
      </c>
      <c r="F88">
        <v>123</v>
      </c>
      <c r="G88">
        <v>62</v>
      </c>
      <c r="H88" t="s">
        <v>244</v>
      </c>
      <c r="I88" t="s">
        <v>20</v>
      </c>
      <c r="J88">
        <v>123</v>
      </c>
    </row>
    <row r="89" spans="1:10" x14ac:dyDescent="0.35">
      <c r="A89">
        <v>30086</v>
      </c>
      <c r="B89" t="s">
        <v>245</v>
      </c>
      <c r="C89" t="s">
        <v>25</v>
      </c>
      <c r="D89" t="s">
        <v>246</v>
      </c>
      <c r="E89" t="s">
        <v>247</v>
      </c>
      <c r="F89">
        <v>386</v>
      </c>
      <c r="G89">
        <v>193</v>
      </c>
      <c r="H89" t="s">
        <v>248</v>
      </c>
      <c r="I89" t="s">
        <v>20</v>
      </c>
      <c r="J89">
        <v>386</v>
      </c>
    </row>
    <row r="90" spans="1:10" x14ac:dyDescent="0.35">
      <c r="A90">
        <v>30046</v>
      </c>
      <c r="B90" t="s">
        <v>217</v>
      </c>
      <c r="C90" t="s">
        <v>214</v>
      </c>
      <c r="D90" t="s">
        <v>249</v>
      </c>
      <c r="E90" t="s">
        <v>13</v>
      </c>
      <c r="F90">
        <v>123</v>
      </c>
      <c r="G90">
        <v>62</v>
      </c>
      <c r="H90" t="s">
        <v>250</v>
      </c>
      <c r="I90" t="s">
        <v>20</v>
      </c>
      <c r="J90">
        <v>123</v>
      </c>
    </row>
    <row r="91" spans="1:10" x14ac:dyDescent="0.35">
      <c r="A91">
        <v>30086</v>
      </c>
      <c r="B91" t="s">
        <v>245</v>
      </c>
      <c r="C91" t="s">
        <v>11</v>
      </c>
      <c r="D91" t="s">
        <v>251</v>
      </c>
      <c r="E91" t="s">
        <v>247</v>
      </c>
      <c r="F91">
        <v>386</v>
      </c>
      <c r="G91">
        <v>193</v>
      </c>
      <c r="H91" t="s">
        <v>252</v>
      </c>
      <c r="I91" t="s">
        <v>20</v>
      </c>
      <c r="J91">
        <v>386</v>
      </c>
    </row>
    <row r="92" spans="1:10" x14ac:dyDescent="0.35">
      <c r="A92">
        <v>30046</v>
      </c>
      <c r="B92" t="s">
        <v>217</v>
      </c>
      <c r="C92" t="s">
        <v>253</v>
      </c>
      <c r="D92" t="s">
        <v>254</v>
      </c>
      <c r="E92" t="s">
        <v>13</v>
      </c>
      <c r="F92">
        <v>123</v>
      </c>
      <c r="G92">
        <v>62</v>
      </c>
      <c r="H92" t="s">
        <v>255</v>
      </c>
      <c r="I92" t="s">
        <v>20</v>
      </c>
      <c r="J92">
        <v>123</v>
      </c>
    </row>
    <row r="93" spans="1:10" x14ac:dyDescent="0.35">
      <c r="A93">
        <v>30472</v>
      </c>
      <c r="B93" t="s">
        <v>256</v>
      </c>
      <c r="C93" t="s">
        <v>11</v>
      </c>
      <c r="D93" t="s">
        <v>257</v>
      </c>
      <c r="E93" t="s">
        <v>30</v>
      </c>
      <c r="F93">
        <v>218</v>
      </c>
      <c r="G93">
        <v>118</v>
      </c>
      <c r="H93" t="s">
        <v>258</v>
      </c>
      <c r="I93" t="s">
        <v>20</v>
      </c>
      <c r="J93">
        <v>218</v>
      </c>
    </row>
    <row r="94" spans="1:10" x14ac:dyDescent="0.35">
      <c r="A94">
        <v>30046</v>
      </c>
      <c r="B94" t="s">
        <v>217</v>
      </c>
      <c r="C94" t="s">
        <v>158</v>
      </c>
      <c r="D94" t="s">
        <v>259</v>
      </c>
      <c r="E94" t="s">
        <v>13</v>
      </c>
      <c r="F94">
        <v>123</v>
      </c>
      <c r="G94">
        <v>62</v>
      </c>
      <c r="H94" t="s">
        <v>260</v>
      </c>
      <c r="I94" t="s">
        <v>20</v>
      </c>
      <c r="J94">
        <v>123</v>
      </c>
    </row>
    <row r="95" spans="1:10" x14ac:dyDescent="0.35">
      <c r="A95">
        <v>30472</v>
      </c>
      <c r="B95" t="s">
        <v>256</v>
      </c>
      <c r="C95" t="s">
        <v>25</v>
      </c>
      <c r="D95" t="s">
        <v>261</v>
      </c>
      <c r="E95" t="s">
        <v>30</v>
      </c>
      <c r="F95">
        <v>218</v>
      </c>
      <c r="G95">
        <v>118</v>
      </c>
      <c r="H95" t="s">
        <v>262</v>
      </c>
      <c r="I95" t="s">
        <v>20</v>
      </c>
      <c r="J95">
        <v>218</v>
      </c>
    </row>
    <row r="96" spans="1:10" x14ac:dyDescent="0.35">
      <c r="A96">
        <v>30046</v>
      </c>
      <c r="B96" t="s">
        <v>217</v>
      </c>
      <c r="C96" t="s">
        <v>169</v>
      </c>
      <c r="D96" t="s">
        <v>263</v>
      </c>
      <c r="E96" t="s">
        <v>13</v>
      </c>
      <c r="F96">
        <v>123</v>
      </c>
      <c r="G96">
        <v>62</v>
      </c>
      <c r="H96" t="s">
        <v>264</v>
      </c>
      <c r="I96" t="s">
        <v>20</v>
      </c>
      <c r="J96">
        <v>123</v>
      </c>
    </row>
    <row r="97" spans="1:10" x14ac:dyDescent="0.35">
      <c r="A97">
        <v>30066</v>
      </c>
      <c r="B97" t="s">
        <v>265</v>
      </c>
      <c r="C97" t="s">
        <v>25</v>
      </c>
      <c r="D97" t="s">
        <v>266</v>
      </c>
      <c r="E97" t="s">
        <v>39</v>
      </c>
      <c r="F97">
        <v>264</v>
      </c>
      <c r="G97">
        <v>140</v>
      </c>
      <c r="H97" t="s">
        <v>267</v>
      </c>
      <c r="I97" t="s">
        <v>20</v>
      </c>
      <c r="J97">
        <v>264</v>
      </c>
    </row>
    <row r="98" spans="1:10" x14ac:dyDescent="0.35">
      <c r="A98">
        <v>30046</v>
      </c>
      <c r="B98" t="s">
        <v>217</v>
      </c>
      <c r="C98" t="s">
        <v>65</v>
      </c>
      <c r="D98" t="s">
        <v>268</v>
      </c>
      <c r="E98" t="s">
        <v>13</v>
      </c>
      <c r="F98">
        <v>123</v>
      </c>
      <c r="G98">
        <v>62</v>
      </c>
      <c r="H98" t="s">
        <v>269</v>
      </c>
      <c r="I98" t="s">
        <v>20</v>
      </c>
      <c r="J98">
        <v>123</v>
      </c>
    </row>
    <row r="99" spans="1:10" x14ac:dyDescent="0.35">
      <c r="A99">
        <v>30066</v>
      </c>
      <c r="B99" t="s">
        <v>265</v>
      </c>
      <c r="C99" t="s">
        <v>11</v>
      </c>
      <c r="D99" t="s">
        <v>270</v>
      </c>
      <c r="E99" t="s">
        <v>39</v>
      </c>
      <c r="F99">
        <v>264</v>
      </c>
      <c r="G99">
        <v>140</v>
      </c>
      <c r="H99" t="s">
        <v>271</v>
      </c>
      <c r="I99" t="s">
        <v>20</v>
      </c>
      <c r="J99">
        <v>264</v>
      </c>
    </row>
    <row r="100" spans="1:10" x14ac:dyDescent="0.35">
      <c r="A100">
        <v>6405525</v>
      </c>
      <c r="B100" t="s">
        <v>272</v>
      </c>
      <c r="C100" t="s">
        <v>25</v>
      </c>
      <c r="D100" t="s">
        <v>273</v>
      </c>
      <c r="E100" t="s">
        <v>274</v>
      </c>
      <c r="F100">
        <v>230</v>
      </c>
      <c r="G100">
        <v>115</v>
      </c>
      <c r="H100" t="s">
        <v>275</v>
      </c>
      <c r="I100" t="s">
        <v>15</v>
      </c>
      <c r="J100">
        <v>230</v>
      </c>
    </row>
    <row r="101" spans="1:10" x14ac:dyDescent="0.35">
      <c r="A101">
        <v>6455620</v>
      </c>
      <c r="B101" t="s">
        <v>276</v>
      </c>
      <c r="C101" t="s">
        <v>277</v>
      </c>
      <c r="D101" t="s">
        <v>278</v>
      </c>
      <c r="E101" t="s">
        <v>13</v>
      </c>
      <c r="F101">
        <v>56</v>
      </c>
      <c r="G101">
        <v>32</v>
      </c>
      <c r="H101" t="s">
        <v>279</v>
      </c>
      <c r="I101" t="s">
        <v>15</v>
      </c>
      <c r="J101">
        <v>56</v>
      </c>
    </row>
    <row r="102" spans="1:10" x14ac:dyDescent="0.35">
      <c r="A102">
        <v>6405525</v>
      </c>
      <c r="B102" t="s">
        <v>272</v>
      </c>
      <c r="C102" t="s">
        <v>11</v>
      </c>
      <c r="D102" t="s">
        <v>280</v>
      </c>
      <c r="E102" t="s">
        <v>274</v>
      </c>
      <c r="F102">
        <v>230</v>
      </c>
      <c r="G102">
        <v>115</v>
      </c>
      <c r="H102" t="s">
        <v>275</v>
      </c>
      <c r="I102" t="s">
        <v>15</v>
      </c>
      <c r="J102">
        <v>230</v>
      </c>
    </row>
    <row r="103" spans="1:10" x14ac:dyDescent="0.35">
      <c r="A103">
        <v>6455620</v>
      </c>
      <c r="B103" t="s">
        <v>276</v>
      </c>
      <c r="C103" t="s">
        <v>281</v>
      </c>
      <c r="D103" t="s">
        <v>282</v>
      </c>
      <c r="E103" t="s">
        <v>13</v>
      </c>
      <c r="F103">
        <v>56</v>
      </c>
      <c r="G103">
        <v>32</v>
      </c>
      <c r="H103" t="s">
        <v>279</v>
      </c>
      <c r="I103" t="s">
        <v>15</v>
      </c>
      <c r="J103">
        <v>56</v>
      </c>
    </row>
    <row r="104" spans="1:10" x14ac:dyDescent="0.35">
      <c r="A104">
        <v>4720601</v>
      </c>
      <c r="B104" t="s">
        <v>283</v>
      </c>
      <c r="C104" t="s">
        <v>11</v>
      </c>
      <c r="D104" t="s">
        <v>284</v>
      </c>
      <c r="E104" t="s">
        <v>108</v>
      </c>
      <c r="F104">
        <v>118</v>
      </c>
      <c r="G104">
        <v>60</v>
      </c>
      <c r="H104" t="s">
        <v>285</v>
      </c>
      <c r="I104" t="s">
        <v>15</v>
      </c>
      <c r="J104">
        <v>118</v>
      </c>
    </row>
    <row r="105" spans="1:10" x14ac:dyDescent="0.35">
      <c r="A105">
        <v>30350</v>
      </c>
      <c r="B105" t="s">
        <v>286</v>
      </c>
      <c r="C105" t="s">
        <v>277</v>
      </c>
      <c r="D105" t="s">
        <v>287</v>
      </c>
      <c r="E105" t="s">
        <v>288</v>
      </c>
      <c r="F105">
        <v>354</v>
      </c>
      <c r="G105">
        <v>178</v>
      </c>
      <c r="H105" t="s">
        <v>289</v>
      </c>
      <c r="I105" t="s">
        <v>20</v>
      </c>
      <c r="J105">
        <v>354</v>
      </c>
    </row>
    <row r="106" spans="1:10" x14ac:dyDescent="0.35">
      <c r="A106">
        <v>4866800</v>
      </c>
      <c r="B106" t="s">
        <v>290</v>
      </c>
      <c r="C106" t="s">
        <v>25</v>
      </c>
      <c r="D106" t="s">
        <v>291</v>
      </c>
      <c r="E106" t="s">
        <v>108</v>
      </c>
      <c r="F106">
        <v>166</v>
      </c>
      <c r="G106">
        <v>85</v>
      </c>
      <c r="H106" t="s">
        <v>292</v>
      </c>
      <c r="I106" t="s">
        <v>15</v>
      </c>
      <c r="J106">
        <v>166</v>
      </c>
    </row>
    <row r="107" spans="1:10" x14ac:dyDescent="0.35">
      <c r="A107">
        <v>58401</v>
      </c>
      <c r="B107" t="s">
        <v>293</v>
      </c>
      <c r="C107" t="s">
        <v>11</v>
      </c>
      <c r="D107" t="s">
        <v>294</v>
      </c>
      <c r="E107" t="s">
        <v>39</v>
      </c>
      <c r="F107">
        <v>236</v>
      </c>
      <c r="G107">
        <v>122</v>
      </c>
      <c r="H107" t="s">
        <v>295</v>
      </c>
      <c r="I107" t="s">
        <v>20</v>
      </c>
      <c r="J107">
        <v>236</v>
      </c>
    </row>
    <row r="108" spans="1:10" x14ac:dyDescent="0.35">
      <c r="A108">
        <v>4866800</v>
      </c>
      <c r="B108" t="s">
        <v>290</v>
      </c>
      <c r="C108" t="s">
        <v>11</v>
      </c>
      <c r="D108" t="s">
        <v>296</v>
      </c>
      <c r="E108" t="s">
        <v>108</v>
      </c>
      <c r="F108">
        <v>166</v>
      </c>
      <c r="G108">
        <v>85</v>
      </c>
      <c r="H108" t="s">
        <v>292</v>
      </c>
      <c r="I108" t="s">
        <v>15</v>
      </c>
      <c r="J108">
        <v>166</v>
      </c>
    </row>
    <row r="109" spans="1:10" x14ac:dyDescent="0.35">
      <c r="A109">
        <v>30035</v>
      </c>
      <c r="B109" t="s">
        <v>297</v>
      </c>
      <c r="C109" t="s">
        <v>11</v>
      </c>
      <c r="D109" t="s">
        <v>298</v>
      </c>
      <c r="E109" t="s">
        <v>196</v>
      </c>
      <c r="F109">
        <v>259</v>
      </c>
      <c r="G109">
        <v>134</v>
      </c>
      <c r="H109" t="s">
        <v>299</v>
      </c>
      <c r="I109" t="s">
        <v>20</v>
      </c>
      <c r="J109">
        <v>259</v>
      </c>
    </row>
    <row r="110" spans="1:10" x14ac:dyDescent="0.35">
      <c r="A110">
        <v>5398096</v>
      </c>
      <c r="B110" t="s">
        <v>300</v>
      </c>
      <c r="C110" t="s">
        <v>33</v>
      </c>
      <c r="D110" t="s">
        <v>301</v>
      </c>
      <c r="E110" t="s">
        <v>13</v>
      </c>
      <c r="F110">
        <v>68</v>
      </c>
      <c r="G110">
        <v>34</v>
      </c>
      <c r="H110" t="s">
        <v>302</v>
      </c>
      <c r="I110" t="s">
        <v>15</v>
      </c>
      <c r="J110">
        <v>68</v>
      </c>
    </row>
    <row r="111" spans="1:10" x14ac:dyDescent="0.35">
      <c r="A111">
        <v>6122736</v>
      </c>
      <c r="B111" t="s">
        <v>303</v>
      </c>
      <c r="C111" t="s">
        <v>277</v>
      </c>
      <c r="D111" t="s">
        <v>304</v>
      </c>
      <c r="E111" t="s">
        <v>13</v>
      </c>
      <c r="F111">
        <v>80</v>
      </c>
      <c r="G111">
        <v>43</v>
      </c>
      <c r="H111" t="s">
        <v>305</v>
      </c>
      <c r="I111" t="s">
        <v>15</v>
      </c>
      <c r="J111">
        <v>80</v>
      </c>
    </row>
    <row r="112" spans="1:10" x14ac:dyDescent="0.35">
      <c r="A112">
        <v>5398096</v>
      </c>
      <c r="B112" t="s">
        <v>300</v>
      </c>
      <c r="C112" t="s">
        <v>25</v>
      </c>
      <c r="D112" t="s">
        <v>306</v>
      </c>
      <c r="E112" t="s">
        <v>13</v>
      </c>
      <c r="F112">
        <v>68</v>
      </c>
      <c r="G112">
        <v>34</v>
      </c>
      <c r="H112" t="s">
        <v>302</v>
      </c>
      <c r="I112" t="s">
        <v>15</v>
      </c>
      <c r="J112">
        <v>68</v>
      </c>
    </row>
    <row r="113" spans="1:10" x14ac:dyDescent="0.35">
      <c r="A113">
        <v>30056</v>
      </c>
      <c r="B113" t="s">
        <v>307</v>
      </c>
      <c r="C113" t="s">
        <v>11</v>
      </c>
      <c r="D113" t="s">
        <v>308</v>
      </c>
      <c r="E113" t="s">
        <v>196</v>
      </c>
      <c r="F113">
        <v>257</v>
      </c>
      <c r="G113">
        <v>132</v>
      </c>
      <c r="H113" t="s">
        <v>309</v>
      </c>
      <c r="I113" t="s">
        <v>20</v>
      </c>
      <c r="J113">
        <v>257</v>
      </c>
    </row>
    <row r="114" spans="1:10" x14ac:dyDescent="0.35">
      <c r="A114">
        <v>5398096</v>
      </c>
      <c r="B114" t="s">
        <v>300</v>
      </c>
      <c r="C114" t="s">
        <v>11</v>
      </c>
      <c r="D114" t="s">
        <v>310</v>
      </c>
      <c r="E114" t="s">
        <v>13</v>
      </c>
      <c r="F114">
        <v>68</v>
      </c>
      <c r="G114">
        <v>34</v>
      </c>
      <c r="H114" t="s">
        <v>302</v>
      </c>
      <c r="I114" t="s">
        <v>15</v>
      </c>
      <c r="J114">
        <v>68</v>
      </c>
    </row>
    <row r="115" spans="1:10" x14ac:dyDescent="0.35">
      <c r="A115">
        <v>51882</v>
      </c>
      <c r="B115" t="s">
        <v>311</v>
      </c>
      <c r="C115" t="s">
        <v>11</v>
      </c>
      <c r="D115" t="s">
        <v>312</v>
      </c>
      <c r="E115" t="s">
        <v>30</v>
      </c>
      <c r="F115">
        <v>222</v>
      </c>
      <c r="G115">
        <v>121</v>
      </c>
      <c r="H115" t="s">
        <v>313</v>
      </c>
      <c r="I115" t="s">
        <v>20</v>
      </c>
      <c r="J115">
        <v>222</v>
      </c>
    </row>
    <row r="116" spans="1:10" x14ac:dyDescent="0.35">
      <c r="B116" t="s">
        <v>314</v>
      </c>
      <c r="C116" t="s">
        <v>25</v>
      </c>
      <c r="D116" t="s">
        <v>315</v>
      </c>
      <c r="E116" t="s">
        <v>108</v>
      </c>
      <c r="F116">
        <v>155</v>
      </c>
      <c r="G116">
        <v>78</v>
      </c>
      <c r="H116" t="s">
        <v>109</v>
      </c>
      <c r="I116" t="s">
        <v>15</v>
      </c>
      <c r="J116">
        <v>155</v>
      </c>
    </row>
    <row r="117" spans="1:10" x14ac:dyDescent="0.35">
      <c r="A117">
        <v>30044</v>
      </c>
      <c r="B117" t="s">
        <v>316</v>
      </c>
      <c r="C117" t="s">
        <v>11</v>
      </c>
      <c r="D117" t="s">
        <v>317</v>
      </c>
      <c r="E117" t="s">
        <v>196</v>
      </c>
      <c r="F117">
        <v>253</v>
      </c>
      <c r="G117">
        <v>129</v>
      </c>
      <c r="H117" t="s">
        <v>318</v>
      </c>
      <c r="I117" t="s">
        <v>20</v>
      </c>
      <c r="J117">
        <v>253</v>
      </c>
    </row>
    <row r="118" spans="1:10" x14ac:dyDescent="0.35">
      <c r="B118" t="s">
        <v>314</v>
      </c>
      <c r="C118" t="s">
        <v>11</v>
      </c>
      <c r="D118" t="s">
        <v>319</v>
      </c>
      <c r="E118" t="s">
        <v>108</v>
      </c>
      <c r="F118">
        <v>155</v>
      </c>
      <c r="G118">
        <v>78</v>
      </c>
      <c r="H118" t="s">
        <v>109</v>
      </c>
      <c r="I118" t="s">
        <v>15</v>
      </c>
      <c r="J118">
        <v>155</v>
      </c>
    </row>
    <row r="119" spans="1:10" x14ac:dyDescent="0.35">
      <c r="B119" t="s">
        <v>320</v>
      </c>
      <c r="C119" t="s">
        <v>11</v>
      </c>
      <c r="D119" t="s">
        <v>321</v>
      </c>
      <c r="E119" t="s">
        <v>23</v>
      </c>
      <c r="F119">
        <v>108</v>
      </c>
      <c r="G119">
        <v>58</v>
      </c>
      <c r="H119" t="s">
        <v>322</v>
      </c>
      <c r="I119" t="s">
        <v>15</v>
      </c>
      <c r="J119">
        <v>108</v>
      </c>
    </row>
    <row r="120" spans="1:10" x14ac:dyDescent="0.35">
      <c r="A120">
        <v>30451</v>
      </c>
      <c r="B120" t="s">
        <v>323</v>
      </c>
      <c r="C120" t="s">
        <v>11</v>
      </c>
      <c r="D120" t="s">
        <v>324</v>
      </c>
      <c r="E120" t="s">
        <v>39</v>
      </c>
      <c r="F120">
        <v>259</v>
      </c>
      <c r="G120">
        <v>132</v>
      </c>
      <c r="H120" t="s">
        <v>325</v>
      </c>
      <c r="I120" t="s">
        <v>20</v>
      </c>
      <c r="J120">
        <v>259</v>
      </c>
    </row>
    <row r="121" spans="1:10" x14ac:dyDescent="0.35">
      <c r="B121" t="s">
        <v>320</v>
      </c>
      <c r="C121" t="s">
        <v>25</v>
      </c>
      <c r="D121" t="s">
        <v>326</v>
      </c>
      <c r="E121" t="s">
        <v>23</v>
      </c>
      <c r="F121">
        <v>108</v>
      </c>
      <c r="G121">
        <v>58</v>
      </c>
      <c r="H121" t="s">
        <v>322</v>
      </c>
      <c r="I121" t="s">
        <v>15</v>
      </c>
      <c r="J121">
        <v>108</v>
      </c>
    </row>
    <row r="122" spans="1:10" x14ac:dyDescent="0.35">
      <c r="A122">
        <v>30045</v>
      </c>
      <c r="B122" t="s">
        <v>327</v>
      </c>
      <c r="C122" t="s">
        <v>11</v>
      </c>
      <c r="D122" t="s">
        <v>328</v>
      </c>
      <c r="E122" t="s">
        <v>39</v>
      </c>
      <c r="F122">
        <v>256</v>
      </c>
      <c r="G122">
        <v>130</v>
      </c>
      <c r="H122" t="s">
        <v>119</v>
      </c>
      <c r="I122" t="s">
        <v>20</v>
      </c>
      <c r="J122">
        <v>256</v>
      </c>
    </row>
    <row r="123" spans="1:10" x14ac:dyDescent="0.35">
      <c r="B123" t="s">
        <v>320</v>
      </c>
      <c r="C123" t="s">
        <v>33</v>
      </c>
      <c r="D123" t="s">
        <v>329</v>
      </c>
      <c r="E123" t="s">
        <v>23</v>
      </c>
      <c r="F123">
        <v>108</v>
      </c>
      <c r="G123">
        <v>58</v>
      </c>
      <c r="H123" t="s">
        <v>322</v>
      </c>
      <c r="I123" t="s">
        <v>15</v>
      </c>
      <c r="J123">
        <v>108</v>
      </c>
    </row>
    <row r="124" spans="1:10" x14ac:dyDescent="0.35">
      <c r="A124">
        <v>5979315</v>
      </c>
      <c r="B124" t="s">
        <v>330</v>
      </c>
      <c r="C124" t="s">
        <v>11</v>
      </c>
      <c r="D124" t="s">
        <v>331</v>
      </c>
      <c r="E124" t="s">
        <v>70</v>
      </c>
      <c r="F124">
        <v>188</v>
      </c>
      <c r="G124">
        <v>108</v>
      </c>
      <c r="H124" t="s">
        <v>332</v>
      </c>
      <c r="I124" t="s">
        <v>15</v>
      </c>
      <c r="J124">
        <v>188</v>
      </c>
    </row>
    <row r="125" spans="1:10" x14ac:dyDescent="0.35">
      <c r="A125">
        <v>1159976</v>
      </c>
      <c r="B125" t="s">
        <v>333</v>
      </c>
      <c r="C125" t="s">
        <v>11</v>
      </c>
      <c r="D125" t="s">
        <v>334</v>
      </c>
      <c r="E125" t="s">
        <v>39</v>
      </c>
      <c r="F125">
        <v>207</v>
      </c>
      <c r="G125">
        <v>106</v>
      </c>
      <c r="H125" t="s">
        <v>335</v>
      </c>
      <c r="I125" t="s">
        <v>20</v>
      </c>
      <c r="J125">
        <v>207</v>
      </c>
    </row>
    <row r="126" spans="1:10" x14ac:dyDescent="0.35">
      <c r="A126">
        <v>5979315</v>
      </c>
      <c r="B126" t="s">
        <v>330</v>
      </c>
      <c r="C126" t="s">
        <v>25</v>
      </c>
      <c r="D126" t="s">
        <v>336</v>
      </c>
      <c r="E126" t="s">
        <v>70</v>
      </c>
      <c r="F126">
        <v>188</v>
      </c>
      <c r="G126">
        <v>108</v>
      </c>
      <c r="H126" t="s">
        <v>332</v>
      </c>
      <c r="I126" t="s">
        <v>15</v>
      </c>
      <c r="J126">
        <v>188</v>
      </c>
    </row>
    <row r="127" spans="1:10" x14ac:dyDescent="0.35">
      <c r="A127">
        <v>30342</v>
      </c>
      <c r="B127" t="s">
        <v>337</v>
      </c>
      <c r="C127" t="s">
        <v>214</v>
      </c>
      <c r="D127" t="s">
        <v>338</v>
      </c>
      <c r="E127" t="s">
        <v>35</v>
      </c>
      <c r="F127">
        <v>310</v>
      </c>
      <c r="G127">
        <v>160</v>
      </c>
      <c r="H127" t="s">
        <v>339</v>
      </c>
      <c r="I127" t="s">
        <v>20</v>
      </c>
      <c r="J127">
        <v>310</v>
      </c>
    </row>
    <row r="128" spans="1:10" x14ac:dyDescent="0.35">
      <c r="A128">
        <v>5979315</v>
      </c>
      <c r="B128" t="s">
        <v>330</v>
      </c>
      <c r="C128" t="s">
        <v>33</v>
      </c>
      <c r="D128" t="s">
        <v>340</v>
      </c>
      <c r="E128" t="s">
        <v>70</v>
      </c>
      <c r="F128">
        <v>188</v>
      </c>
      <c r="G128">
        <v>108</v>
      </c>
      <c r="H128" t="s">
        <v>332</v>
      </c>
      <c r="I128" t="s">
        <v>15</v>
      </c>
      <c r="J128">
        <v>188</v>
      </c>
    </row>
    <row r="129" spans="1:10" x14ac:dyDescent="0.35">
      <c r="A129">
        <v>30342</v>
      </c>
      <c r="B129" t="s">
        <v>337</v>
      </c>
      <c r="C129" t="s">
        <v>72</v>
      </c>
      <c r="D129" t="s">
        <v>341</v>
      </c>
      <c r="E129" t="s">
        <v>35</v>
      </c>
      <c r="F129">
        <v>310</v>
      </c>
      <c r="G129">
        <v>160</v>
      </c>
      <c r="H129" t="s">
        <v>342</v>
      </c>
      <c r="I129" t="s">
        <v>20</v>
      </c>
      <c r="J129">
        <v>310</v>
      </c>
    </row>
    <row r="130" spans="1:10" x14ac:dyDescent="0.35">
      <c r="A130">
        <v>30072</v>
      </c>
      <c r="B130" t="s">
        <v>343</v>
      </c>
      <c r="C130" t="s">
        <v>25</v>
      </c>
      <c r="D130" t="s">
        <v>344</v>
      </c>
      <c r="E130" t="s">
        <v>39</v>
      </c>
      <c r="F130">
        <v>260</v>
      </c>
      <c r="G130">
        <v>132</v>
      </c>
      <c r="H130" t="s">
        <v>345</v>
      </c>
      <c r="I130" t="s">
        <v>20</v>
      </c>
      <c r="J130">
        <v>260</v>
      </c>
    </row>
    <row r="131" spans="1:10" x14ac:dyDescent="0.35">
      <c r="A131">
        <v>30342</v>
      </c>
      <c r="B131" t="s">
        <v>337</v>
      </c>
      <c r="C131" t="s">
        <v>33</v>
      </c>
      <c r="D131" t="s">
        <v>346</v>
      </c>
      <c r="E131" t="s">
        <v>35</v>
      </c>
      <c r="F131">
        <v>310</v>
      </c>
      <c r="G131">
        <v>160</v>
      </c>
      <c r="H131" t="s">
        <v>347</v>
      </c>
      <c r="I131" t="s">
        <v>20</v>
      </c>
      <c r="J131">
        <v>310</v>
      </c>
    </row>
    <row r="132" spans="1:10" x14ac:dyDescent="0.35">
      <c r="A132">
        <v>30072</v>
      </c>
      <c r="B132" t="s">
        <v>343</v>
      </c>
      <c r="C132" t="s">
        <v>11</v>
      </c>
      <c r="D132" t="s">
        <v>348</v>
      </c>
      <c r="E132" t="s">
        <v>39</v>
      </c>
      <c r="F132">
        <v>260</v>
      </c>
      <c r="G132">
        <v>132</v>
      </c>
      <c r="H132" t="s">
        <v>349</v>
      </c>
      <c r="I132" t="s">
        <v>20</v>
      </c>
      <c r="J132">
        <v>260</v>
      </c>
    </row>
    <row r="133" spans="1:10" x14ac:dyDescent="0.35">
      <c r="A133">
        <v>30342</v>
      </c>
      <c r="B133" t="s">
        <v>337</v>
      </c>
      <c r="C133" t="s">
        <v>25</v>
      </c>
      <c r="D133" t="s">
        <v>350</v>
      </c>
      <c r="E133" t="s">
        <v>35</v>
      </c>
      <c r="F133">
        <v>310</v>
      </c>
      <c r="G133">
        <v>160</v>
      </c>
      <c r="H133" t="s">
        <v>351</v>
      </c>
      <c r="I133" t="s">
        <v>20</v>
      </c>
      <c r="J133">
        <v>310</v>
      </c>
    </row>
    <row r="134" spans="1:10" x14ac:dyDescent="0.35">
      <c r="A134">
        <v>30342</v>
      </c>
      <c r="B134" t="s">
        <v>337</v>
      </c>
      <c r="C134" t="s">
        <v>11</v>
      </c>
      <c r="D134" t="s">
        <v>352</v>
      </c>
      <c r="E134" t="s">
        <v>35</v>
      </c>
      <c r="F134">
        <v>310</v>
      </c>
      <c r="G134">
        <v>160</v>
      </c>
      <c r="H134" t="s">
        <v>353</v>
      </c>
      <c r="I134" t="s">
        <v>20</v>
      </c>
      <c r="J134">
        <v>310</v>
      </c>
    </row>
    <row r="135" spans="1:10" x14ac:dyDescent="0.35">
      <c r="A135">
        <v>5675936</v>
      </c>
      <c r="B135" t="s">
        <v>354</v>
      </c>
      <c r="C135" t="s">
        <v>11</v>
      </c>
      <c r="D135" t="s">
        <v>355</v>
      </c>
      <c r="E135" t="s">
        <v>108</v>
      </c>
      <c r="F135">
        <v>92</v>
      </c>
      <c r="G135">
        <v>46</v>
      </c>
      <c r="H135" t="s">
        <v>356</v>
      </c>
      <c r="I135" t="s">
        <v>15</v>
      </c>
      <c r="J135">
        <v>92</v>
      </c>
    </row>
    <row r="136" spans="1:10" x14ac:dyDescent="0.35">
      <c r="A136">
        <v>30342</v>
      </c>
      <c r="B136" t="s">
        <v>337</v>
      </c>
      <c r="C136" t="s">
        <v>65</v>
      </c>
      <c r="D136" t="s">
        <v>357</v>
      </c>
      <c r="E136" t="s">
        <v>35</v>
      </c>
      <c r="F136">
        <v>310</v>
      </c>
      <c r="G136">
        <v>160</v>
      </c>
      <c r="H136" t="s">
        <v>358</v>
      </c>
      <c r="I136" t="s">
        <v>20</v>
      </c>
      <c r="J136">
        <v>310</v>
      </c>
    </row>
    <row r="137" spans="1:10" x14ac:dyDescent="0.35">
      <c r="A137">
        <v>29887</v>
      </c>
      <c r="B137" t="s">
        <v>359</v>
      </c>
      <c r="C137" t="s">
        <v>11</v>
      </c>
      <c r="D137" t="s">
        <v>360</v>
      </c>
      <c r="E137" t="s">
        <v>39</v>
      </c>
      <c r="F137">
        <v>217</v>
      </c>
      <c r="G137">
        <v>110</v>
      </c>
      <c r="H137" t="s">
        <v>361</v>
      </c>
      <c r="I137" t="s">
        <v>20</v>
      </c>
      <c r="J137">
        <v>217</v>
      </c>
    </row>
    <row r="138" spans="1:10" x14ac:dyDescent="0.35">
      <c r="A138">
        <v>29958</v>
      </c>
      <c r="B138" t="s">
        <v>362</v>
      </c>
      <c r="C138" t="s">
        <v>11</v>
      </c>
      <c r="D138" t="s">
        <v>363</v>
      </c>
      <c r="E138" t="s">
        <v>39</v>
      </c>
      <c r="F138">
        <v>229</v>
      </c>
      <c r="G138">
        <v>117</v>
      </c>
      <c r="H138" t="s">
        <v>364</v>
      </c>
      <c r="I138" t="s">
        <v>20</v>
      </c>
      <c r="J138">
        <v>229</v>
      </c>
    </row>
    <row r="139" spans="1:10" x14ac:dyDescent="0.35">
      <c r="A139">
        <v>5475007</v>
      </c>
      <c r="B139" t="s">
        <v>365</v>
      </c>
      <c r="C139" t="s">
        <v>11</v>
      </c>
      <c r="D139" t="s">
        <v>366</v>
      </c>
      <c r="E139" t="s">
        <v>108</v>
      </c>
      <c r="F139">
        <v>134</v>
      </c>
      <c r="G139">
        <v>67</v>
      </c>
      <c r="H139" t="s">
        <v>367</v>
      </c>
      <c r="I139" t="s">
        <v>15</v>
      </c>
      <c r="J139">
        <v>134</v>
      </c>
    </row>
    <row r="140" spans="1:10" x14ac:dyDescent="0.35">
      <c r="A140">
        <v>29958</v>
      </c>
      <c r="B140" t="s">
        <v>362</v>
      </c>
      <c r="C140" t="s">
        <v>25</v>
      </c>
      <c r="D140" t="s">
        <v>368</v>
      </c>
      <c r="E140" t="s">
        <v>39</v>
      </c>
      <c r="F140">
        <v>229</v>
      </c>
      <c r="G140">
        <v>117</v>
      </c>
      <c r="H140" t="s">
        <v>369</v>
      </c>
      <c r="I140" t="s">
        <v>20</v>
      </c>
      <c r="J140">
        <v>229</v>
      </c>
    </row>
    <row r="141" spans="1:10" x14ac:dyDescent="0.35">
      <c r="A141">
        <v>5475007</v>
      </c>
      <c r="B141" t="s">
        <v>365</v>
      </c>
      <c r="C141" t="s">
        <v>25</v>
      </c>
      <c r="D141" t="s">
        <v>370</v>
      </c>
      <c r="E141" t="s">
        <v>108</v>
      </c>
      <c r="F141">
        <v>134</v>
      </c>
      <c r="G141">
        <v>67</v>
      </c>
      <c r="H141" t="s">
        <v>367</v>
      </c>
      <c r="I141" t="s">
        <v>15</v>
      </c>
      <c r="J141">
        <v>134</v>
      </c>
    </row>
    <row r="142" spans="1:10" x14ac:dyDescent="0.35">
      <c r="A142">
        <v>30465</v>
      </c>
      <c r="B142" t="s">
        <v>371</v>
      </c>
      <c r="C142" t="s">
        <v>11</v>
      </c>
      <c r="D142" t="s">
        <v>372</v>
      </c>
      <c r="E142" t="s">
        <v>39</v>
      </c>
      <c r="F142">
        <v>259</v>
      </c>
      <c r="G142">
        <v>132</v>
      </c>
      <c r="H142" t="s">
        <v>373</v>
      </c>
      <c r="I142" t="s">
        <v>20</v>
      </c>
      <c r="J142">
        <v>259</v>
      </c>
    </row>
    <row r="143" spans="1:10" x14ac:dyDescent="0.35">
      <c r="A143">
        <v>5475007</v>
      </c>
      <c r="B143" t="s">
        <v>365</v>
      </c>
      <c r="C143" t="s">
        <v>33</v>
      </c>
      <c r="D143" t="s">
        <v>374</v>
      </c>
      <c r="E143" t="s">
        <v>108</v>
      </c>
      <c r="F143">
        <v>134</v>
      </c>
      <c r="G143">
        <v>67</v>
      </c>
      <c r="H143" t="s">
        <v>367</v>
      </c>
      <c r="I143" t="s">
        <v>15</v>
      </c>
      <c r="J143">
        <v>134</v>
      </c>
    </row>
    <row r="144" spans="1:10" x14ac:dyDescent="0.35">
      <c r="A144">
        <v>30466</v>
      </c>
      <c r="B144" t="s">
        <v>375</v>
      </c>
      <c r="C144" t="s">
        <v>11</v>
      </c>
      <c r="D144" t="s">
        <v>376</v>
      </c>
      <c r="E144" t="s">
        <v>39</v>
      </c>
      <c r="F144">
        <v>243</v>
      </c>
      <c r="G144">
        <v>125</v>
      </c>
      <c r="H144" t="s">
        <v>377</v>
      </c>
      <c r="I144" t="s">
        <v>20</v>
      </c>
      <c r="J144">
        <v>243</v>
      </c>
    </row>
    <row r="145" spans="1:10" x14ac:dyDescent="0.35">
      <c r="A145">
        <v>5418780</v>
      </c>
      <c r="B145" t="s">
        <v>378</v>
      </c>
      <c r="C145" t="s">
        <v>11</v>
      </c>
      <c r="D145" t="s">
        <v>379</v>
      </c>
      <c r="E145" t="s">
        <v>70</v>
      </c>
      <c r="F145">
        <v>206</v>
      </c>
      <c r="G145">
        <v>113</v>
      </c>
      <c r="H145" t="s">
        <v>380</v>
      </c>
      <c r="I145" t="s">
        <v>15</v>
      </c>
      <c r="J145">
        <v>206</v>
      </c>
    </row>
    <row r="146" spans="1:10" x14ac:dyDescent="0.35">
      <c r="A146">
        <v>30050</v>
      </c>
      <c r="B146" t="s">
        <v>381</v>
      </c>
      <c r="C146" t="s">
        <v>11</v>
      </c>
      <c r="D146" t="s">
        <v>382</v>
      </c>
      <c r="E146" t="s">
        <v>39</v>
      </c>
      <c r="F146">
        <v>248</v>
      </c>
      <c r="G146">
        <v>132</v>
      </c>
      <c r="H146" t="s">
        <v>383</v>
      </c>
      <c r="I146" t="s">
        <v>20</v>
      </c>
      <c r="J146">
        <v>248</v>
      </c>
    </row>
    <row r="147" spans="1:10" x14ac:dyDescent="0.35">
      <c r="A147">
        <v>5418780</v>
      </c>
      <c r="B147" t="s">
        <v>378</v>
      </c>
      <c r="C147" t="s">
        <v>25</v>
      </c>
      <c r="D147" t="s">
        <v>384</v>
      </c>
      <c r="E147" t="s">
        <v>70</v>
      </c>
      <c r="F147">
        <v>206</v>
      </c>
      <c r="G147">
        <v>113</v>
      </c>
      <c r="H147" t="s">
        <v>380</v>
      </c>
      <c r="I147" t="s">
        <v>15</v>
      </c>
      <c r="J147">
        <v>206</v>
      </c>
    </row>
    <row r="148" spans="1:10" x14ac:dyDescent="0.35">
      <c r="A148">
        <v>30050</v>
      </c>
      <c r="B148" t="s">
        <v>381</v>
      </c>
      <c r="C148" t="s">
        <v>25</v>
      </c>
      <c r="D148" t="s">
        <v>385</v>
      </c>
      <c r="E148" t="s">
        <v>39</v>
      </c>
      <c r="F148">
        <v>248</v>
      </c>
      <c r="G148">
        <v>132</v>
      </c>
      <c r="H148" t="s">
        <v>386</v>
      </c>
      <c r="I148" t="s">
        <v>20</v>
      </c>
      <c r="J148">
        <v>248</v>
      </c>
    </row>
    <row r="149" spans="1:10" x14ac:dyDescent="0.35">
      <c r="A149">
        <v>314803</v>
      </c>
      <c r="B149" t="s">
        <v>387</v>
      </c>
      <c r="C149" t="s">
        <v>11</v>
      </c>
      <c r="D149" t="s">
        <v>388</v>
      </c>
      <c r="E149" t="s">
        <v>108</v>
      </c>
      <c r="F149">
        <v>178</v>
      </c>
      <c r="G149">
        <v>89</v>
      </c>
      <c r="H149" t="s">
        <v>389</v>
      </c>
      <c r="I149" t="s">
        <v>15</v>
      </c>
      <c r="J149">
        <v>178</v>
      </c>
    </row>
    <row r="150" spans="1:10" x14ac:dyDescent="0.35">
      <c r="A150">
        <v>883921</v>
      </c>
      <c r="B150" t="s">
        <v>390</v>
      </c>
      <c r="C150" t="s">
        <v>25</v>
      </c>
      <c r="D150" t="s">
        <v>391</v>
      </c>
      <c r="E150" t="s">
        <v>392</v>
      </c>
      <c r="F150">
        <v>244</v>
      </c>
      <c r="G150">
        <v>128</v>
      </c>
      <c r="H150" t="s">
        <v>393</v>
      </c>
      <c r="I150" t="s">
        <v>20</v>
      </c>
      <c r="J150">
        <v>244</v>
      </c>
    </row>
    <row r="151" spans="1:10" x14ac:dyDescent="0.35">
      <c r="A151">
        <v>314803</v>
      </c>
      <c r="B151" t="s">
        <v>387</v>
      </c>
      <c r="C151" t="s">
        <v>25</v>
      </c>
      <c r="D151" t="s">
        <v>394</v>
      </c>
      <c r="E151" t="s">
        <v>108</v>
      </c>
      <c r="F151">
        <v>178</v>
      </c>
      <c r="G151">
        <v>89</v>
      </c>
      <c r="H151" t="s">
        <v>389</v>
      </c>
      <c r="I151" t="s">
        <v>15</v>
      </c>
      <c r="J151">
        <v>178</v>
      </c>
    </row>
    <row r="152" spans="1:10" x14ac:dyDescent="0.35">
      <c r="A152">
        <v>883921</v>
      </c>
      <c r="B152" t="s">
        <v>390</v>
      </c>
      <c r="C152" t="s">
        <v>11</v>
      </c>
      <c r="D152" t="s">
        <v>395</v>
      </c>
      <c r="E152" t="s">
        <v>392</v>
      </c>
      <c r="F152">
        <v>244</v>
      </c>
      <c r="G152">
        <v>128</v>
      </c>
      <c r="H152" t="s">
        <v>393</v>
      </c>
      <c r="I152" t="s">
        <v>20</v>
      </c>
      <c r="J152">
        <v>244</v>
      </c>
    </row>
    <row r="153" spans="1:10" x14ac:dyDescent="0.35">
      <c r="A153">
        <v>30347</v>
      </c>
      <c r="B153" t="s">
        <v>396</v>
      </c>
      <c r="C153" t="s">
        <v>11</v>
      </c>
      <c r="D153" t="s">
        <v>397</v>
      </c>
      <c r="E153" t="s">
        <v>39</v>
      </c>
      <c r="F153">
        <v>224</v>
      </c>
      <c r="G153">
        <v>112</v>
      </c>
      <c r="H153" t="s">
        <v>398</v>
      </c>
      <c r="I153" t="s">
        <v>20</v>
      </c>
      <c r="J153">
        <v>224</v>
      </c>
    </row>
    <row r="154" spans="1:10" x14ac:dyDescent="0.35">
      <c r="A154">
        <v>883921</v>
      </c>
      <c r="B154" t="s">
        <v>390</v>
      </c>
      <c r="C154" t="s">
        <v>33</v>
      </c>
      <c r="D154" t="s">
        <v>399</v>
      </c>
      <c r="E154" t="s">
        <v>392</v>
      </c>
      <c r="F154">
        <v>244</v>
      </c>
      <c r="G154">
        <v>128</v>
      </c>
      <c r="H154" t="s">
        <v>393</v>
      </c>
      <c r="I154" t="s">
        <v>20</v>
      </c>
      <c r="J154">
        <v>244</v>
      </c>
    </row>
    <row r="155" spans="1:10" x14ac:dyDescent="0.35">
      <c r="A155">
        <v>5107601</v>
      </c>
      <c r="B155" t="s">
        <v>400</v>
      </c>
      <c r="C155" t="s">
        <v>11</v>
      </c>
      <c r="D155" t="s">
        <v>401</v>
      </c>
      <c r="E155" t="s">
        <v>402</v>
      </c>
      <c r="F155">
        <v>155</v>
      </c>
      <c r="G155">
        <v>77</v>
      </c>
      <c r="H155" t="s">
        <v>403</v>
      </c>
      <c r="I155" t="s">
        <v>15</v>
      </c>
      <c r="J155">
        <v>155</v>
      </c>
    </row>
    <row r="156" spans="1:10" x14ac:dyDescent="0.35">
      <c r="A156">
        <v>44862</v>
      </c>
      <c r="B156" t="s">
        <v>404</v>
      </c>
      <c r="C156" t="s">
        <v>11</v>
      </c>
      <c r="D156" t="s">
        <v>405</v>
      </c>
      <c r="E156" t="s">
        <v>39</v>
      </c>
      <c r="F156">
        <v>248</v>
      </c>
      <c r="G156">
        <v>125</v>
      </c>
      <c r="H156" t="s">
        <v>406</v>
      </c>
      <c r="I156" t="s">
        <v>20</v>
      </c>
      <c r="J156">
        <v>248</v>
      </c>
    </row>
    <row r="157" spans="1:10" x14ac:dyDescent="0.35">
      <c r="A157">
        <v>5107601</v>
      </c>
      <c r="B157" t="s">
        <v>400</v>
      </c>
      <c r="C157" t="s">
        <v>25</v>
      </c>
      <c r="D157" t="s">
        <v>407</v>
      </c>
      <c r="E157" t="s">
        <v>402</v>
      </c>
      <c r="F157">
        <v>155</v>
      </c>
      <c r="G157">
        <v>77</v>
      </c>
      <c r="H157" t="s">
        <v>403</v>
      </c>
      <c r="I157" t="s">
        <v>15</v>
      </c>
      <c r="J157">
        <v>155</v>
      </c>
    </row>
    <row r="158" spans="1:10" x14ac:dyDescent="0.35">
      <c r="A158">
        <v>5780454</v>
      </c>
      <c r="B158" t="s">
        <v>408</v>
      </c>
      <c r="C158" t="s">
        <v>11</v>
      </c>
      <c r="D158" t="s">
        <v>409</v>
      </c>
      <c r="E158" t="s">
        <v>410</v>
      </c>
      <c r="F158">
        <v>142</v>
      </c>
      <c r="G158">
        <v>71</v>
      </c>
      <c r="H158" t="s">
        <v>411</v>
      </c>
      <c r="I158" t="s">
        <v>15</v>
      </c>
      <c r="J158">
        <v>142</v>
      </c>
    </row>
    <row r="159" spans="1:10" x14ac:dyDescent="0.35">
      <c r="A159">
        <v>5780454</v>
      </c>
      <c r="B159" t="s">
        <v>408</v>
      </c>
      <c r="C159" t="s">
        <v>25</v>
      </c>
      <c r="D159" t="s">
        <v>412</v>
      </c>
      <c r="E159" t="s">
        <v>410</v>
      </c>
      <c r="F159">
        <v>142</v>
      </c>
      <c r="G159">
        <v>71</v>
      </c>
      <c r="H159" t="s">
        <v>411</v>
      </c>
      <c r="I159" t="s">
        <v>15</v>
      </c>
      <c r="J159">
        <v>142</v>
      </c>
    </row>
    <row r="160" spans="1:10" x14ac:dyDescent="0.35">
      <c r="B160" t="s">
        <v>413</v>
      </c>
      <c r="C160" t="s">
        <v>25</v>
      </c>
      <c r="D160" t="s">
        <v>414</v>
      </c>
      <c r="E160" t="s">
        <v>415</v>
      </c>
      <c r="F160">
        <v>242</v>
      </c>
      <c r="G160">
        <v>121</v>
      </c>
      <c r="H160" t="s">
        <v>416</v>
      </c>
      <c r="I160" t="s">
        <v>15</v>
      </c>
      <c r="J160">
        <v>242</v>
      </c>
    </row>
    <row r="161" spans="1:10" x14ac:dyDescent="0.35">
      <c r="A161">
        <v>40657</v>
      </c>
      <c r="B161" t="s">
        <v>417</v>
      </c>
      <c r="C161" t="s">
        <v>11</v>
      </c>
      <c r="D161" t="s">
        <v>418</v>
      </c>
      <c r="E161" t="s">
        <v>39</v>
      </c>
      <c r="F161">
        <v>234</v>
      </c>
      <c r="G161">
        <v>119</v>
      </c>
      <c r="H161" t="s">
        <v>419</v>
      </c>
      <c r="I161" t="s">
        <v>20</v>
      </c>
      <c r="J161">
        <v>234</v>
      </c>
    </row>
    <row r="162" spans="1:10" x14ac:dyDescent="0.35">
      <c r="B162" t="s">
        <v>413</v>
      </c>
      <c r="C162" t="s">
        <v>11</v>
      </c>
      <c r="D162" t="s">
        <v>420</v>
      </c>
      <c r="E162" t="s">
        <v>415</v>
      </c>
      <c r="F162">
        <v>242</v>
      </c>
      <c r="G162">
        <v>121</v>
      </c>
      <c r="H162" t="s">
        <v>416</v>
      </c>
      <c r="I162" t="s">
        <v>15</v>
      </c>
      <c r="J162">
        <v>242</v>
      </c>
    </row>
    <row r="163" spans="1:10" x14ac:dyDescent="0.35">
      <c r="A163">
        <v>40657</v>
      </c>
      <c r="B163" t="s">
        <v>417</v>
      </c>
      <c r="C163" t="s">
        <v>25</v>
      </c>
      <c r="D163" t="s">
        <v>421</v>
      </c>
      <c r="E163" t="s">
        <v>39</v>
      </c>
      <c r="F163">
        <v>234</v>
      </c>
      <c r="G163">
        <v>119</v>
      </c>
      <c r="H163" t="s">
        <v>422</v>
      </c>
      <c r="I163" t="s">
        <v>20</v>
      </c>
      <c r="J163">
        <v>234</v>
      </c>
    </row>
    <row r="164" spans="1:10" x14ac:dyDescent="0.35">
      <c r="B164" t="s">
        <v>413</v>
      </c>
      <c r="C164" t="s">
        <v>33</v>
      </c>
      <c r="D164" t="s">
        <v>423</v>
      </c>
      <c r="E164" t="s">
        <v>415</v>
      </c>
      <c r="F164">
        <v>242</v>
      </c>
      <c r="G164">
        <v>121</v>
      </c>
      <c r="H164" t="s">
        <v>416</v>
      </c>
      <c r="I164" t="s">
        <v>15</v>
      </c>
      <c r="J164">
        <v>242</v>
      </c>
    </row>
    <row r="165" spans="1:10" x14ac:dyDescent="0.35">
      <c r="A165">
        <v>40657</v>
      </c>
      <c r="B165" t="s">
        <v>417</v>
      </c>
      <c r="C165" t="s">
        <v>33</v>
      </c>
      <c r="D165" t="s">
        <v>424</v>
      </c>
      <c r="E165" t="s">
        <v>39</v>
      </c>
      <c r="F165">
        <v>234</v>
      </c>
      <c r="G165">
        <v>119</v>
      </c>
      <c r="H165" t="s">
        <v>425</v>
      </c>
      <c r="I165" t="s">
        <v>20</v>
      </c>
      <c r="J165">
        <v>234</v>
      </c>
    </row>
    <row r="166" spans="1:10" x14ac:dyDescent="0.35">
      <c r="A166">
        <v>44662</v>
      </c>
      <c r="B166" t="s">
        <v>426</v>
      </c>
      <c r="C166" t="s">
        <v>11</v>
      </c>
      <c r="D166" t="s">
        <v>427</v>
      </c>
      <c r="E166" t="s">
        <v>39</v>
      </c>
      <c r="F166">
        <v>245</v>
      </c>
      <c r="G166">
        <v>123</v>
      </c>
      <c r="H166" t="s">
        <v>428</v>
      </c>
      <c r="I166" t="s">
        <v>20</v>
      </c>
      <c r="J166">
        <v>245</v>
      </c>
    </row>
    <row r="167" spans="1:10" x14ac:dyDescent="0.35">
      <c r="A167">
        <v>29949</v>
      </c>
      <c r="B167" t="s">
        <v>429</v>
      </c>
      <c r="C167" t="s">
        <v>11</v>
      </c>
      <c r="D167" t="s">
        <v>430</v>
      </c>
      <c r="E167" t="s">
        <v>39</v>
      </c>
      <c r="F167">
        <v>242</v>
      </c>
      <c r="G167">
        <v>123</v>
      </c>
      <c r="H167" t="s">
        <v>431</v>
      </c>
      <c r="I167" t="s">
        <v>20</v>
      </c>
      <c r="J167">
        <v>242</v>
      </c>
    </row>
    <row r="168" spans="1:10" x14ac:dyDescent="0.35">
      <c r="A168">
        <v>44662</v>
      </c>
      <c r="B168" t="s">
        <v>426</v>
      </c>
      <c r="C168" t="s">
        <v>25</v>
      </c>
      <c r="D168" t="s">
        <v>432</v>
      </c>
      <c r="E168" t="s">
        <v>39</v>
      </c>
      <c r="F168">
        <v>245</v>
      </c>
      <c r="G168">
        <v>124</v>
      </c>
      <c r="H168" t="s">
        <v>433</v>
      </c>
      <c r="I168" t="s">
        <v>20</v>
      </c>
      <c r="J168">
        <v>245</v>
      </c>
    </row>
    <row r="169" spans="1:10" x14ac:dyDescent="0.35">
      <c r="A169">
        <v>29951</v>
      </c>
      <c r="B169" t="s">
        <v>434</v>
      </c>
      <c r="C169" t="s">
        <v>11</v>
      </c>
      <c r="D169" t="s">
        <v>435</v>
      </c>
      <c r="E169" t="s">
        <v>30</v>
      </c>
      <c r="F169">
        <v>206</v>
      </c>
      <c r="G169">
        <v>116</v>
      </c>
      <c r="H169" t="s">
        <v>436</v>
      </c>
      <c r="I169" t="s">
        <v>20</v>
      </c>
      <c r="J169">
        <v>206</v>
      </c>
    </row>
    <row r="170" spans="1:10" x14ac:dyDescent="0.35">
      <c r="A170">
        <v>5345790</v>
      </c>
      <c r="B170" t="s">
        <v>437</v>
      </c>
      <c r="C170" t="s">
        <v>11</v>
      </c>
      <c r="D170" t="s">
        <v>438</v>
      </c>
      <c r="E170" t="s">
        <v>108</v>
      </c>
      <c r="F170">
        <v>138</v>
      </c>
      <c r="G170">
        <v>69</v>
      </c>
      <c r="H170" t="s">
        <v>439</v>
      </c>
      <c r="I170" t="s">
        <v>15</v>
      </c>
      <c r="J170">
        <v>138</v>
      </c>
    </row>
    <row r="171" spans="1:10" x14ac:dyDescent="0.35">
      <c r="A171">
        <v>29952</v>
      </c>
      <c r="B171" t="s">
        <v>440</v>
      </c>
      <c r="C171" t="s">
        <v>11</v>
      </c>
      <c r="D171" t="s">
        <v>441</v>
      </c>
      <c r="E171" t="s">
        <v>39</v>
      </c>
      <c r="F171">
        <v>242</v>
      </c>
      <c r="G171">
        <v>123</v>
      </c>
      <c r="H171" t="s">
        <v>442</v>
      </c>
      <c r="I171" t="s">
        <v>20</v>
      </c>
      <c r="J171">
        <v>242</v>
      </c>
    </row>
    <row r="172" spans="1:10" x14ac:dyDescent="0.35">
      <c r="A172">
        <v>30075</v>
      </c>
      <c r="B172" t="s">
        <v>443</v>
      </c>
      <c r="C172" t="s">
        <v>25</v>
      </c>
      <c r="D172" t="s">
        <v>444</v>
      </c>
      <c r="E172" t="s">
        <v>18</v>
      </c>
      <c r="F172">
        <v>315</v>
      </c>
      <c r="G172">
        <v>159</v>
      </c>
      <c r="H172" t="s">
        <v>445</v>
      </c>
      <c r="I172" t="s">
        <v>20</v>
      </c>
      <c r="J172">
        <v>315</v>
      </c>
    </row>
    <row r="173" spans="1:10" x14ac:dyDescent="0.35">
      <c r="A173">
        <v>709611</v>
      </c>
      <c r="B173" t="s">
        <v>446</v>
      </c>
      <c r="C173" t="s">
        <v>11</v>
      </c>
      <c r="D173" t="s">
        <v>447</v>
      </c>
      <c r="E173" t="s">
        <v>39</v>
      </c>
      <c r="F173">
        <v>250</v>
      </c>
      <c r="G173">
        <v>127</v>
      </c>
      <c r="H173" t="s">
        <v>448</v>
      </c>
      <c r="I173" t="s">
        <v>20</v>
      </c>
      <c r="J173">
        <v>250</v>
      </c>
    </row>
    <row r="174" spans="1:10" x14ac:dyDescent="0.35">
      <c r="A174">
        <v>30075</v>
      </c>
      <c r="B174" t="s">
        <v>443</v>
      </c>
      <c r="C174" t="s">
        <v>11</v>
      </c>
      <c r="D174" t="s">
        <v>449</v>
      </c>
      <c r="E174" t="s">
        <v>18</v>
      </c>
      <c r="F174">
        <v>315</v>
      </c>
      <c r="G174">
        <v>159</v>
      </c>
      <c r="H174" t="s">
        <v>450</v>
      </c>
      <c r="I174" t="s">
        <v>20</v>
      </c>
      <c r="J174">
        <v>315</v>
      </c>
    </row>
    <row r="175" spans="1:10" x14ac:dyDescent="0.35">
      <c r="A175">
        <v>710466</v>
      </c>
      <c r="B175" t="s">
        <v>451</v>
      </c>
      <c r="C175" t="s">
        <v>11</v>
      </c>
      <c r="D175" t="s">
        <v>452</v>
      </c>
      <c r="E175" t="s">
        <v>39</v>
      </c>
      <c r="F175">
        <v>250</v>
      </c>
      <c r="G175">
        <v>127</v>
      </c>
      <c r="H175" t="s">
        <v>448</v>
      </c>
      <c r="I175" t="s">
        <v>20</v>
      </c>
      <c r="J175">
        <v>250</v>
      </c>
    </row>
    <row r="176" spans="1:10" x14ac:dyDescent="0.35">
      <c r="A176">
        <v>30041</v>
      </c>
      <c r="B176" t="s">
        <v>453</v>
      </c>
      <c r="C176" t="s">
        <v>11</v>
      </c>
      <c r="D176" t="s">
        <v>454</v>
      </c>
      <c r="E176" t="s">
        <v>30</v>
      </c>
      <c r="F176">
        <v>204</v>
      </c>
      <c r="G176">
        <v>102</v>
      </c>
      <c r="H176" t="s">
        <v>455</v>
      </c>
      <c r="I176" t="s">
        <v>20</v>
      </c>
      <c r="J176">
        <v>204</v>
      </c>
    </row>
    <row r="177" spans="1:10" x14ac:dyDescent="0.35">
      <c r="A177">
        <v>29898</v>
      </c>
      <c r="B177" t="s">
        <v>456</v>
      </c>
      <c r="C177" t="s">
        <v>11</v>
      </c>
      <c r="D177" t="s">
        <v>457</v>
      </c>
      <c r="E177" t="s">
        <v>39</v>
      </c>
      <c r="F177">
        <v>240</v>
      </c>
      <c r="G177">
        <v>122</v>
      </c>
      <c r="H177" t="s">
        <v>458</v>
      </c>
      <c r="I177" t="s">
        <v>20</v>
      </c>
      <c r="J177">
        <v>240</v>
      </c>
    </row>
    <row r="178" spans="1:10" x14ac:dyDescent="0.35">
      <c r="A178">
        <v>29424</v>
      </c>
      <c r="B178" t="s">
        <v>459</v>
      </c>
      <c r="C178" t="s">
        <v>25</v>
      </c>
      <c r="D178" t="s">
        <v>460</v>
      </c>
      <c r="E178" t="s">
        <v>39</v>
      </c>
      <c r="F178">
        <v>212</v>
      </c>
      <c r="G178">
        <v>109</v>
      </c>
      <c r="H178" t="s">
        <v>461</v>
      </c>
      <c r="I178" t="s">
        <v>20</v>
      </c>
      <c r="J178">
        <v>212</v>
      </c>
    </row>
    <row r="179" spans="1:10" x14ac:dyDescent="0.35">
      <c r="B179" t="s">
        <v>462</v>
      </c>
      <c r="C179" t="s">
        <v>11</v>
      </c>
      <c r="D179" t="s">
        <v>463</v>
      </c>
      <c r="E179" t="s">
        <v>203</v>
      </c>
      <c r="F179">
        <v>261</v>
      </c>
      <c r="G179">
        <v>132</v>
      </c>
      <c r="H179" t="s">
        <v>464</v>
      </c>
      <c r="I179" t="s">
        <v>20</v>
      </c>
      <c r="J179">
        <v>261</v>
      </c>
    </row>
    <row r="180" spans="1:10" x14ac:dyDescent="0.35">
      <c r="A180">
        <v>29424</v>
      </c>
      <c r="B180" t="s">
        <v>459</v>
      </c>
      <c r="C180" t="s">
        <v>11</v>
      </c>
      <c r="D180" t="s">
        <v>465</v>
      </c>
      <c r="E180" t="s">
        <v>39</v>
      </c>
      <c r="F180">
        <v>212</v>
      </c>
      <c r="G180">
        <v>109</v>
      </c>
      <c r="H180" t="s">
        <v>466</v>
      </c>
      <c r="I180" t="s">
        <v>20</v>
      </c>
      <c r="J180">
        <v>212</v>
      </c>
    </row>
    <row r="181" spans="1:10" x14ac:dyDescent="0.35">
      <c r="A181">
        <v>772615</v>
      </c>
      <c r="B181" t="s">
        <v>467</v>
      </c>
      <c r="C181" t="s">
        <v>11</v>
      </c>
      <c r="D181" t="s">
        <v>468</v>
      </c>
      <c r="E181" t="s">
        <v>469</v>
      </c>
      <c r="F181">
        <v>192</v>
      </c>
      <c r="G181">
        <v>99</v>
      </c>
      <c r="H181" t="s">
        <v>470</v>
      </c>
      <c r="I181" t="s">
        <v>20</v>
      </c>
      <c r="J181">
        <v>192</v>
      </c>
    </row>
    <row r="182" spans="1:10" x14ac:dyDescent="0.35">
      <c r="A182">
        <v>709620</v>
      </c>
      <c r="B182" t="s">
        <v>471</v>
      </c>
      <c r="C182" t="s">
        <v>11</v>
      </c>
      <c r="D182" t="s">
        <v>472</v>
      </c>
      <c r="E182" t="s">
        <v>39</v>
      </c>
      <c r="F182">
        <v>250</v>
      </c>
      <c r="G182">
        <v>127</v>
      </c>
      <c r="H182" t="s">
        <v>448</v>
      </c>
      <c r="I182" t="s">
        <v>20</v>
      </c>
      <c r="J182">
        <v>250</v>
      </c>
    </row>
    <row r="183" spans="1:10" x14ac:dyDescent="0.35">
      <c r="A183">
        <v>43124</v>
      </c>
      <c r="B183" t="s">
        <v>473</v>
      </c>
      <c r="C183" t="s">
        <v>25</v>
      </c>
      <c r="D183" t="s">
        <v>474</v>
      </c>
      <c r="E183" t="s">
        <v>39</v>
      </c>
      <c r="F183">
        <v>244</v>
      </c>
      <c r="G183">
        <v>129</v>
      </c>
      <c r="H183" t="s">
        <v>475</v>
      </c>
      <c r="I183" t="s">
        <v>20</v>
      </c>
      <c r="J183">
        <v>244</v>
      </c>
    </row>
    <row r="184" spans="1:10" x14ac:dyDescent="0.35">
      <c r="A184">
        <v>43124</v>
      </c>
      <c r="B184" t="s">
        <v>473</v>
      </c>
      <c r="C184" t="s">
        <v>11</v>
      </c>
      <c r="D184" t="s">
        <v>476</v>
      </c>
      <c r="E184" t="s">
        <v>39</v>
      </c>
      <c r="F184">
        <v>244</v>
      </c>
      <c r="G184">
        <v>129</v>
      </c>
      <c r="H184" t="s">
        <v>477</v>
      </c>
      <c r="I184" t="s">
        <v>20</v>
      </c>
      <c r="J184">
        <v>244</v>
      </c>
    </row>
    <row r="185" spans="1:10" x14ac:dyDescent="0.35">
      <c r="A185">
        <v>5316081</v>
      </c>
      <c r="B185" t="s">
        <v>478</v>
      </c>
      <c r="C185" t="s">
        <v>11</v>
      </c>
      <c r="D185" t="s">
        <v>479</v>
      </c>
      <c r="E185" t="s">
        <v>70</v>
      </c>
      <c r="F185">
        <v>183</v>
      </c>
      <c r="G185">
        <v>107</v>
      </c>
      <c r="H185" t="s">
        <v>480</v>
      </c>
      <c r="I185" t="s">
        <v>15</v>
      </c>
      <c r="J185">
        <v>183</v>
      </c>
    </row>
    <row r="186" spans="1:10" x14ac:dyDescent="0.35">
      <c r="A186">
        <v>43124</v>
      </c>
      <c r="B186" t="s">
        <v>473</v>
      </c>
      <c r="C186" t="s">
        <v>33</v>
      </c>
      <c r="D186" t="s">
        <v>481</v>
      </c>
      <c r="E186" t="s">
        <v>39</v>
      </c>
      <c r="F186">
        <v>244</v>
      </c>
      <c r="G186">
        <v>129</v>
      </c>
      <c r="H186" t="s">
        <v>482</v>
      </c>
      <c r="I186" t="s">
        <v>20</v>
      </c>
      <c r="J186">
        <v>244</v>
      </c>
    </row>
    <row r="187" spans="1:10" x14ac:dyDescent="0.35">
      <c r="A187">
        <v>5316081</v>
      </c>
      <c r="B187" t="s">
        <v>478</v>
      </c>
      <c r="C187" t="s">
        <v>25</v>
      </c>
      <c r="D187" t="s">
        <v>483</v>
      </c>
      <c r="E187" t="s">
        <v>70</v>
      </c>
      <c r="F187">
        <v>183</v>
      </c>
      <c r="G187">
        <v>107</v>
      </c>
      <c r="H187" t="s">
        <v>480</v>
      </c>
      <c r="I187" t="s">
        <v>15</v>
      </c>
      <c r="J187">
        <v>183</v>
      </c>
    </row>
    <row r="188" spans="1:10" x14ac:dyDescent="0.35">
      <c r="A188">
        <v>30037</v>
      </c>
      <c r="B188" t="s">
        <v>484</v>
      </c>
      <c r="C188" t="s">
        <v>11</v>
      </c>
      <c r="D188" t="s">
        <v>485</v>
      </c>
      <c r="E188" t="s">
        <v>39</v>
      </c>
      <c r="F188">
        <v>228</v>
      </c>
      <c r="G188">
        <v>117</v>
      </c>
      <c r="H188" t="s">
        <v>486</v>
      </c>
      <c r="I188" t="s">
        <v>20</v>
      </c>
      <c r="J188">
        <v>228</v>
      </c>
    </row>
    <row r="189" spans="1:10" x14ac:dyDescent="0.35">
      <c r="A189">
        <v>30051</v>
      </c>
      <c r="B189" t="s">
        <v>487</v>
      </c>
      <c r="C189" t="s">
        <v>11</v>
      </c>
      <c r="D189" t="s">
        <v>488</v>
      </c>
      <c r="E189" t="s">
        <v>30</v>
      </c>
      <c r="F189">
        <v>220</v>
      </c>
      <c r="G189">
        <v>117</v>
      </c>
      <c r="H189" t="s">
        <v>489</v>
      </c>
      <c r="I189" t="s">
        <v>20</v>
      </c>
      <c r="J189">
        <v>220</v>
      </c>
    </row>
    <row r="190" spans="1:10" x14ac:dyDescent="0.35">
      <c r="A190">
        <v>30037</v>
      </c>
      <c r="B190" t="s">
        <v>484</v>
      </c>
      <c r="C190" t="s">
        <v>25</v>
      </c>
      <c r="D190" t="s">
        <v>490</v>
      </c>
      <c r="E190" t="s">
        <v>39</v>
      </c>
      <c r="F190">
        <v>228</v>
      </c>
      <c r="G190">
        <v>117</v>
      </c>
      <c r="H190" t="s">
        <v>491</v>
      </c>
      <c r="I190" t="s">
        <v>20</v>
      </c>
      <c r="J190">
        <v>228</v>
      </c>
    </row>
    <row r="191" spans="1:10" x14ac:dyDescent="0.35">
      <c r="A191">
        <v>30051</v>
      </c>
      <c r="B191" t="s">
        <v>487</v>
      </c>
      <c r="C191" t="s">
        <v>25</v>
      </c>
      <c r="D191" t="s">
        <v>492</v>
      </c>
      <c r="E191" t="s">
        <v>30</v>
      </c>
      <c r="F191">
        <v>220</v>
      </c>
      <c r="G191">
        <v>117</v>
      </c>
      <c r="H191" t="s">
        <v>493</v>
      </c>
      <c r="I191" t="s">
        <v>20</v>
      </c>
      <c r="J191">
        <v>220</v>
      </c>
    </row>
    <row r="192" spans="1:10" x14ac:dyDescent="0.35">
      <c r="A192">
        <v>30469</v>
      </c>
      <c r="B192" t="s">
        <v>494</v>
      </c>
      <c r="C192" t="s">
        <v>11</v>
      </c>
      <c r="D192" t="s">
        <v>495</v>
      </c>
      <c r="E192" t="s">
        <v>145</v>
      </c>
      <c r="F192">
        <v>138</v>
      </c>
      <c r="G192">
        <v>72</v>
      </c>
      <c r="H192" t="s">
        <v>496</v>
      </c>
      <c r="I192" t="s">
        <v>20</v>
      </c>
      <c r="J192">
        <v>138</v>
      </c>
    </row>
    <row r="193" spans="1:10" x14ac:dyDescent="0.35">
      <c r="A193">
        <v>30051</v>
      </c>
      <c r="B193" t="s">
        <v>487</v>
      </c>
      <c r="C193" t="s">
        <v>33</v>
      </c>
      <c r="D193" t="s">
        <v>497</v>
      </c>
      <c r="E193" t="s">
        <v>30</v>
      </c>
      <c r="F193">
        <v>220</v>
      </c>
      <c r="G193">
        <v>117</v>
      </c>
      <c r="H193" t="s">
        <v>498</v>
      </c>
      <c r="I193" t="s">
        <v>20</v>
      </c>
      <c r="J193">
        <v>220</v>
      </c>
    </row>
    <row r="194" spans="1:10" x14ac:dyDescent="0.35">
      <c r="A194">
        <v>29433</v>
      </c>
      <c r="B194" t="s">
        <v>499</v>
      </c>
      <c r="C194" t="s">
        <v>11</v>
      </c>
      <c r="D194" t="s">
        <v>500</v>
      </c>
      <c r="E194" t="s">
        <v>469</v>
      </c>
      <c r="F194">
        <v>192</v>
      </c>
      <c r="G194">
        <v>99</v>
      </c>
      <c r="H194" t="s">
        <v>470</v>
      </c>
      <c r="I194" t="s">
        <v>20</v>
      </c>
      <c r="J194">
        <v>192</v>
      </c>
    </row>
    <row r="195" spans="1:10" x14ac:dyDescent="0.35">
      <c r="A195">
        <v>30076</v>
      </c>
      <c r="B195" t="s">
        <v>501</v>
      </c>
      <c r="C195" t="s">
        <v>11</v>
      </c>
      <c r="D195" t="s">
        <v>502</v>
      </c>
      <c r="E195" t="s">
        <v>39</v>
      </c>
      <c r="F195">
        <v>232</v>
      </c>
      <c r="G195">
        <v>117</v>
      </c>
      <c r="H195" t="s">
        <v>503</v>
      </c>
      <c r="I195" t="s">
        <v>20</v>
      </c>
      <c r="J195">
        <v>232</v>
      </c>
    </row>
    <row r="196" spans="1:10" x14ac:dyDescent="0.35">
      <c r="A196">
        <v>1004816</v>
      </c>
      <c r="B196" t="s">
        <v>504</v>
      </c>
      <c r="C196" t="s">
        <v>11</v>
      </c>
      <c r="D196" t="s">
        <v>505</v>
      </c>
      <c r="E196" t="s">
        <v>39</v>
      </c>
      <c r="F196">
        <v>240</v>
      </c>
      <c r="G196">
        <v>122</v>
      </c>
      <c r="H196" t="s">
        <v>458</v>
      </c>
      <c r="I196" t="s">
        <v>20</v>
      </c>
      <c r="J196">
        <v>240</v>
      </c>
    </row>
    <row r="197" spans="1:10" x14ac:dyDescent="0.35">
      <c r="A197">
        <v>5726263</v>
      </c>
      <c r="B197" t="s">
        <v>506</v>
      </c>
      <c r="C197" t="s">
        <v>11</v>
      </c>
      <c r="D197" t="s">
        <v>507</v>
      </c>
      <c r="E197" t="s">
        <v>108</v>
      </c>
      <c r="F197">
        <v>134</v>
      </c>
      <c r="G197">
        <v>67</v>
      </c>
      <c r="H197" t="s">
        <v>508</v>
      </c>
      <c r="I197" t="s">
        <v>15</v>
      </c>
      <c r="J197">
        <v>134</v>
      </c>
    </row>
    <row r="198" spans="1:10" x14ac:dyDescent="0.35">
      <c r="B198" t="s">
        <v>509</v>
      </c>
      <c r="C198" t="s">
        <v>11</v>
      </c>
      <c r="D198" t="s">
        <v>510</v>
      </c>
      <c r="E198" t="s">
        <v>39</v>
      </c>
      <c r="F198">
        <v>202</v>
      </c>
      <c r="G198">
        <v>104</v>
      </c>
      <c r="H198" t="s">
        <v>511</v>
      </c>
      <c r="I198" t="s">
        <v>20</v>
      </c>
      <c r="J198">
        <v>202</v>
      </c>
    </row>
    <row r="199" spans="1:10" x14ac:dyDescent="0.35">
      <c r="B199" t="s">
        <v>509</v>
      </c>
      <c r="C199" t="s">
        <v>25</v>
      </c>
      <c r="D199" t="s">
        <v>512</v>
      </c>
      <c r="E199" t="s">
        <v>39</v>
      </c>
      <c r="F199">
        <v>202</v>
      </c>
      <c r="G199">
        <v>104</v>
      </c>
      <c r="H199" t="s">
        <v>513</v>
      </c>
      <c r="I199" t="s">
        <v>20</v>
      </c>
      <c r="J199">
        <v>202</v>
      </c>
    </row>
    <row r="200" spans="1:10" x14ac:dyDescent="0.35">
      <c r="B200" t="s">
        <v>514</v>
      </c>
      <c r="C200" t="s">
        <v>25</v>
      </c>
      <c r="D200" t="s">
        <v>515</v>
      </c>
      <c r="E200" t="s">
        <v>13</v>
      </c>
      <c r="F200">
        <v>78</v>
      </c>
      <c r="G200">
        <v>39</v>
      </c>
      <c r="H200" t="s">
        <v>516</v>
      </c>
      <c r="I200" t="s">
        <v>15</v>
      </c>
      <c r="J200">
        <v>78</v>
      </c>
    </row>
    <row r="201" spans="1:10" x14ac:dyDescent="0.35">
      <c r="A201">
        <v>717436</v>
      </c>
      <c r="B201" t="s">
        <v>517</v>
      </c>
      <c r="C201" t="s">
        <v>11</v>
      </c>
      <c r="D201" t="s">
        <v>518</v>
      </c>
      <c r="E201" t="s">
        <v>39</v>
      </c>
      <c r="F201">
        <v>242</v>
      </c>
      <c r="G201">
        <v>123</v>
      </c>
      <c r="H201" t="s">
        <v>519</v>
      </c>
      <c r="I201" t="s">
        <v>20</v>
      </c>
      <c r="J201">
        <v>242</v>
      </c>
    </row>
    <row r="202" spans="1:10" x14ac:dyDescent="0.35">
      <c r="B202" t="s">
        <v>514</v>
      </c>
      <c r="C202" t="s">
        <v>11</v>
      </c>
      <c r="D202" t="s">
        <v>520</v>
      </c>
      <c r="E202" t="s">
        <v>13</v>
      </c>
      <c r="F202">
        <v>78</v>
      </c>
      <c r="G202">
        <v>39</v>
      </c>
      <c r="H202" t="s">
        <v>516</v>
      </c>
      <c r="I202" t="s">
        <v>15</v>
      </c>
      <c r="J202">
        <v>78</v>
      </c>
    </row>
    <row r="203" spans="1:10" x14ac:dyDescent="0.35">
      <c r="A203">
        <v>717436</v>
      </c>
      <c r="B203" t="s">
        <v>517</v>
      </c>
      <c r="C203" t="s">
        <v>25</v>
      </c>
      <c r="D203" t="s">
        <v>521</v>
      </c>
      <c r="E203" t="s">
        <v>39</v>
      </c>
      <c r="F203">
        <v>242</v>
      </c>
      <c r="G203">
        <v>123</v>
      </c>
      <c r="H203" t="s">
        <v>519</v>
      </c>
      <c r="I203" t="s">
        <v>20</v>
      </c>
      <c r="J203">
        <v>242</v>
      </c>
    </row>
    <row r="204" spans="1:10" x14ac:dyDescent="0.35">
      <c r="A204">
        <v>30454</v>
      </c>
      <c r="B204" t="s">
        <v>522</v>
      </c>
      <c r="C204" t="s">
        <v>11</v>
      </c>
      <c r="D204" t="s">
        <v>523</v>
      </c>
      <c r="E204" t="s">
        <v>203</v>
      </c>
      <c r="F204">
        <v>269</v>
      </c>
      <c r="G204">
        <v>133</v>
      </c>
      <c r="H204" t="s">
        <v>524</v>
      </c>
      <c r="I204" t="s">
        <v>20</v>
      </c>
      <c r="J204">
        <v>269</v>
      </c>
    </row>
    <row r="205" spans="1:10" x14ac:dyDescent="0.35">
      <c r="A205">
        <v>30087</v>
      </c>
      <c r="B205" t="s">
        <v>525</v>
      </c>
      <c r="C205" t="s">
        <v>11</v>
      </c>
      <c r="D205" t="s">
        <v>526</v>
      </c>
      <c r="E205" t="s">
        <v>39</v>
      </c>
      <c r="F205">
        <v>204</v>
      </c>
      <c r="G205">
        <v>109</v>
      </c>
      <c r="H205" t="s">
        <v>527</v>
      </c>
      <c r="I205" t="s">
        <v>20</v>
      </c>
      <c r="J205">
        <v>204</v>
      </c>
    </row>
    <row r="206" spans="1:10" x14ac:dyDescent="0.35">
      <c r="A206">
        <v>30664</v>
      </c>
      <c r="B206" t="s">
        <v>528</v>
      </c>
      <c r="C206" t="s">
        <v>25</v>
      </c>
      <c r="D206" t="s">
        <v>529</v>
      </c>
      <c r="E206" t="s">
        <v>35</v>
      </c>
      <c r="F206">
        <v>313</v>
      </c>
      <c r="G206">
        <v>158</v>
      </c>
      <c r="H206" t="s">
        <v>530</v>
      </c>
      <c r="I206" t="s">
        <v>20</v>
      </c>
      <c r="J206">
        <v>313</v>
      </c>
    </row>
    <row r="207" spans="1:10" x14ac:dyDescent="0.35">
      <c r="A207">
        <v>30664</v>
      </c>
      <c r="B207" t="s">
        <v>528</v>
      </c>
      <c r="C207" t="s">
        <v>11</v>
      </c>
      <c r="D207" t="s">
        <v>531</v>
      </c>
      <c r="E207" t="s">
        <v>35</v>
      </c>
      <c r="F207">
        <v>313</v>
      </c>
      <c r="G207">
        <v>158</v>
      </c>
      <c r="H207" t="s">
        <v>532</v>
      </c>
      <c r="I207" t="s">
        <v>20</v>
      </c>
      <c r="J207">
        <v>313</v>
      </c>
    </row>
    <row r="208" spans="1:10" x14ac:dyDescent="0.35">
      <c r="A208">
        <v>41901</v>
      </c>
      <c r="B208" t="s">
        <v>533</v>
      </c>
      <c r="C208" t="s">
        <v>25</v>
      </c>
      <c r="D208" t="s">
        <v>534</v>
      </c>
      <c r="E208" t="s">
        <v>39</v>
      </c>
      <c r="F208">
        <v>242</v>
      </c>
      <c r="G208">
        <v>121</v>
      </c>
      <c r="H208" t="s">
        <v>535</v>
      </c>
      <c r="I208" t="s">
        <v>20</v>
      </c>
    </row>
    <row r="209" spans="1:10" x14ac:dyDescent="0.35">
      <c r="A209">
        <v>30058</v>
      </c>
      <c r="B209" t="s">
        <v>536</v>
      </c>
      <c r="C209" t="s">
        <v>11</v>
      </c>
      <c r="D209" t="s">
        <v>537</v>
      </c>
      <c r="E209" t="s">
        <v>39</v>
      </c>
      <c r="F209">
        <v>243</v>
      </c>
      <c r="G209">
        <v>123</v>
      </c>
      <c r="H209" t="s">
        <v>538</v>
      </c>
      <c r="I209" t="s">
        <v>20</v>
      </c>
      <c r="J209">
        <v>243</v>
      </c>
    </row>
    <row r="210" spans="1:10" x14ac:dyDescent="0.35">
      <c r="A210">
        <v>41901</v>
      </c>
      <c r="B210" t="s">
        <v>533</v>
      </c>
      <c r="C210" t="s">
        <v>11</v>
      </c>
      <c r="D210" t="s">
        <v>539</v>
      </c>
      <c r="E210" t="s">
        <v>39</v>
      </c>
      <c r="F210">
        <v>240</v>
      </c>
      <c r="G210">
        <v>122</v>
      </c>
      <c r="H210" t="s">
        <v>540</v>
      </c>
      <c r="I210" t="s">
        <v>20</v>
      </c>
      <c r="J210">
        <v>240</v>
      </c>
    </row>
    <row r="211" spans="1:10" x14ac:dyDescent="0.35">
      <c r="A211">
        <v>29954</v>
      </c>
      <c r="B211" t="s">
        <v>541</v>
      </c>
      <c r="C211" t="s">
        <v>11</v>
      </c>
      <c r="D211" t="s">
        <v>542</v>
      </c>
      <c r="E211" t="s">
        <v>39</v>
      </c>
      <c r="F211">
        <v>243</v>
      </c>
      <c r="G211">
        <v>123</v>
      </c>
      <c r="H211" t="s">
        <v>543</v>
      </c>
      <c r="I211" t="s">
        <v>20</v>
      </c>
      <c r="J211">
        <v>243</v>
      </c>
    </row>
    <row r="212" spans="1:10" x14ac:dyDescent="0.35">
      <c r="A212">
        <v>29432</v>
      </c>
      <c r="B212" t="s">
        <v>544</v>
      </c>
      <c r="C212" t="s">
        <v>11</v>
      </c>
      <c r="D212" t="s">
        <v>545</v>
      </c>
      <c r="E212" t="s">
        <v>39</v>
      </c>
      <c r="F212">
        <v>249</v>
      </c>
      <c r="G212">
        <v>125</v>
      </c>
      <c r="H212" t="s">
        <v>546</v>
      </c>
      <c r="I212" t="s">
        <v>20</v>
      </c>
      <c r="J212">
        <v>249</v>
      </c>
    </row>
    <row r="213" spans="1:10" x14ac:dyDescent="0.35">
      <c r="A213">
        <v>29423</v>
      </c>
      <c r="B213" t="s">
        <v>547</v>
      </c>
      <c r="C213" t="s">
        <v>11</v>
      </c>
      <c r="D213" t="s">
        <v>548</v>
      </c>
      <c r="E213" t="s">
        <v>39</v>
      </c>
      <c r="F213">
        <v>229</v>
      </c>
      <c r="G213">
        <v>116</v>
      </c>
      <c r="H213" t="s">
        <v>549</v>
      </c>
      <c r="I213" t="s">
        <v>20</v>
      </c>
      <c r="J213">
        <v>229</v>
      </c>
    </row>
    <row r="214" spans="1:10" x14ac:dyDescent="0.35">
      <c r="A214">
        <v>29950</v>
      </c>
      <c r="B214" t="s">
        <v>550</v>
      </c>
      <c r="C214" t="s">
        <v>25</v>
      </c>
      <c r="D214" t="s">
        <v>551</v>
      </c>
      <c r="E214" t="s">
        <v>39</v>
      </c>
      <c r="F214">
        <v>232</v>
      </c>
      <c r="G214">
        <v>117</v>
      </c>
      <c r="H214" t="s">
        <v>552</v>
      </c>
      <c r="I214" t="s">
        <v>20</v>
      </c>
      <c r="J214">
        <v>232</v>
      </c>
    </row>
    <row r="215" spans="1:10" x14ac:dyDescent="0.35">
      <c r="A215">
        <v>29423</v>
      </c>
      <c r="B215" t="s">
        <v>547</v>
      </c>
      <c r="C215" t="s">
        <v>25</v>
      </c>
      <c r="D215" t="s">
        <v>553</v>
      </c>
      <c r="E215" t="s">
        <v>39</v>
      </c>
      <c r="F215">
        <v>229</v>
      </c>
      <c r="G215">
        <v>116</v>
      </c>
      <c r="H215" t="s">
        <v>554</v>
      </c>
      <c r="I215" t="s">
        <v>20</v>
      </c>
      <c r="J215">
        <v>229</v>
      </c>
    </row>
    <row r="216" spans="1:10" x14ac:dyDescent="0.35">
      <c r="A216">
        <v>29950</v>
      </c>
      <c r="B216" t="s">
        <v>550</v>
      </c>
      <c r="C216" t="s">
        <v>11</v>
      </c>
      <c r="D216" t="s">
        <v>555</v>
      </c>
      <c r="E216" t="s">
        <v>39</v>
      </c>
      <c r="F216">
        <v>232</v>
      </c>
      <c r="G216">
        <v>117</v>
      </c>
      <c r="H216" t="s">
        <v>556</v>
      </c>
      <c r="I216" t="s">
        <v>20</v>
      </c>
      <c r="J216">
        <v>232</v>
      </c>
    </row>
    <row r="217" spans="1:10" x14ac:dyDescent="0.35">
      <c r="A217">
        <v>835528</v>
      </c>
      <c r="B217" t="s">
        <v>557</v>
      </c>
      <c r="C217" t="s">
        <v>11</v>
      </c>
      <c r="D217" t="s">
        <v>558</v>
      </c>
      <c r="E217" t="s">
        <v>145</v>
      </c>
      <c r="F217">
        <v>140</v>
      </c>
      <c r="G217">
        <v>71</v>
      </c>
      <c r="H217" t="s">
        <v>559</v>
      </c>
      <c r="I217" t="s">
        <v>20</v>
      </c>
      <c r="J217">
        <v>140</v>
      </c>
    </row>
    <row r="218" spans="1:10" x14ac:dyDescent="0.35">
      <c r="A218">
        <v>984442</v>
      </c>
      <c r="B218" t="s">
        <v>560</v>
      </c>
      <c r="C218" t="s">
        <v>11</v>
      </c>
      <c r="D218" t="s">
        <v>561</v>
      </c>
      <c r="E218" t="s">
        <v>35</v>
      </c>
      <c r="F218">
        <v>279</v>
      </c>
      <c r="G218">
        <v>161</v>
      </c>
      <c r="H218" t="s">
        <v>562</v>
      </c>
      <c r="I218" t="s">
        <v>20</v>
      </c>
      <c r="J218">
        <v>279</v>
      </c>
    </row>
    <row r="219" spans="1:10" x14ac:dyDescent="0.35">
      <c r="A219">
        <v>30459</v>
      </c>
      <c r="B219" t="s">
        <v>563</v>
      </c>
      <c r="C219" t="s">
        <v>11</v>
      </c>
      <c r="D219" t="s">
        <v>564</v>
      </c>
      <c r="E219" t="s">
        <v>145</v>
      </c>
      <c r="F219">
        <v>139</v>
      </c>
      <c r="G219">
        <v>71</v>
      </c>
      <c r="H219" t="s">
        <v>565</v>
      </c>
      <c r="I219" t="s">
        <v>20</v>
      </c>
      <c r="J219">
        <v>139</v>
      </c>
    </row>
    <row r="220" spans="1:10" x14ac:dyDescent="0.35">
      <c r="A220">
        <v>984442</v>
      </c>
      <c r="B220" t="s">
        <v>560</v>
      </c>
      <c r="C220" t="s">
        <v>281</v>
      </c>
      <c r="D220" t="s">
        <v>566</v>
      </c>
      <c r="E220" t="s">
        <v>35</v>
      </c>
      <c r="F220">
        <v>279</v>
      </c>
      <c r="G220">
        <v>161</v>
      </c>
      <c r="H220" t="s">
        <v>562</v>
      </c>
      <c r="I220" t="s">
        <v>20</v>
      </c>
      <c r="J220">
        <v>279</v>
      </c>
    </row>
    <row r="221" spans="1:10" x14ac:dyDescent="0.35">
      <c r="A221">
        <v>30459</v>
      </c>
      <c r="B221" t="s">
        <v>563</v>
      </c>
      <c r="C221" t="s">
        <v>25</v>
      </c>
      <c r="D221" t="s">
        <v>567</v>
      </c>
      <c r="E221" t="s">
        <v>145</v>
      </c>
      <c r="F221">
        <v>139</v>
      </c>
      <c r="G221">
        <v>71</v>
      </c>
      <c r="H221" t="s">
        <v>568</v>
      </c>
      <c r="I221" t="s">
        <v>20</v>
      </c>
      <c r="J221">
        <v>139</v>
      </c>
    </row>
    <row r="222" spans="1:10" x14ac:dyDescent="0.35">
      <c r="A222">
        <v>41541</v>
      </c>
      <c r="B222" t="s">
        <v>569</v>
      </c>
      <c r="C222" t="s">
        <v>11</v>
      </c>
      <c r="D222" t="s">
        <v>570</v>
      </c>
      <c r="E222" t="s">
        <v>145</v>
      </c>
      <c r="F222">
        <v>137</v>
      </c>
      <c r="G222">
        <v>70</v>
      </c>
      <c r="H222" t="s">
        <v>571</v>
      </c>
      <c r="I222" t="s">
        <v>20</v>
      </c>
      <c r="J222">
        <v>137</v>
      </c>
    </row>
    <row r="223" spans="1:10" x14ac:dyDescent="0.35">
      <c r="A223">
        <v>30625</v>
      </c>
      <c r="B223" t="s">
        <v>572</v>
      </c>
      <c r="C223" t="s">
        <v>11</v>
      </c>
      <c r="D223" t="s">
        <v>573</v>
      </c>
      <c r="E223" t="s">
        <v>145</v>
      </c>
      <c r="F223">
        <v>137</v>
      </c>
      <c r="G223">
        <v>70</v>
      </c>
      <c r="H223" t="s">
        <v>574</v>
      </c>
      <c r="I223" t="s">
        <v>20</v>
      </c>
      <c r="J223">
        <v>137</v>
      </c>
    </row>
    <row r="224" spans="1:10" x14ac:dyDescent="0.35">
      <c r="A224">
        <v>30038</v>
      </c>
      <c r="B224" t="s">
        <v>575</v>
      </c>
      <c r="C224" t="s">
        <v>11</v>
      </c>
      <c r="D224" t="s">
        <v>576</v>
      </c>
      <c r="E224" t="s">
        <v>39</v>
      </c>
      <c r="F224">
        <v>225</v>
      </c>
      <c r="G224">
        <v>114</v>
      </c>
      <c r="H224" t="s">
        <v>577</v>
      </c>
      <c r="I224" t="s">
        <v>20</v>
      </c>
      <c r="J224">
        <v>225</v>
      </c>
    </row>
    <row r="225" spans="1:10" x14ac:dyDescent="0.35">
      <c r="A225">
        <v>730289</v>
      </c>
      <c r="B225" t="s">
        <v>578</v>
      </c>
      <c r="C225" t="s">
        <v>11</v>
      </c>
      <c r="D225" t="s">
        <v>579</v>
      </c>
      <c r="E225" t="s">
        <v>30</v>
      </c>
      <c r="F225">
        <v>194</v>
      </c>
      <c r="G225">
        <v>106</v>
      </c>
      <c r="H225" t="s">
        <v>580</v>
      </c>
      <c r="I225" t="s">
        <v>20</v>
      </c>
      <c r="J225">
        <v>194</v>
      </c>
    </row>
    <row r="226" spans="1:10" x14ac:dyDescent="0.35">
      <c r="A226">
        <v>30038</v>
      </c>
      <c r="B226" t="s">
        <v>575</v>
      </c>
      <c r="C226" t="s">
        <v>25</v>
      </c>
      <c r="D226" t="s">
        <v>581</v>
      </c>
      <c r="E226" t="s">
        <v>39</v>
      </c>
      <c r="F226">
        <v>225</v>
      </c>
      <c r="G226">
        <v>114</v>
      </c>
      <c r="H226" t="s">
        <v>582</v>
      </c>
      <c r="I226" t="s">
        <v>20</v>
      </c>
      <c r="J226">
        <v>225</v>
      </c>
    </row>
    <row r="227" spans="1:10" x14ac:dyDescent="0.35">
      <c r="B227" t="s">
        <v>583</v>
      </c>
      <c r="C227" t="s">
        <v>72</v>
      </c>
      <c r="D227" t="s">
        <v>584</v>
      </c>
      <c r="E227" t="s">
        <v>23</v>
      </c>
      <c r="F227">
        <v>113</v>
      </c>
      <c r="G227">
        <v>58</v>
      </c>
      <c r="H227" t="s">
        <v>585</v>
      </c>
      <c r="I227" t="s">
        <v>15</v>
      </c>
      <c r="J227">
        <v>113</v>
      </c>
    </row>
    <row r="228" spans="1:10" x14ac:dyDescent="0.35">
      <c r="A228">
        <v>1166549</v>
      </c>
      <c r="B228" t="s">
        <v>586</v>
      </c>
      <c r="C228" t="s">
        <v>11</v>
      </c>
      <c r="D228" t="s">
        <v>587</v>
      </c>
      <c r="E228" t="s">
        <v>203</v>
      </c>
      <c r="F228">
        <v>279</v>
      </c>
      <c r="G228">
        <v>162</v>
      </c>
      <c r="H228" t="s">
        <v>588</v>
      </c>
      <c r="I228" t="s">
        <v>20</v>
      </c>
      <c r="J228">
        <v>279</v>
      </c>
    </row>
    <row r="229" spans="1:10" x14ac:dyDescent="0.35">
      <c r="B229" t="s">
        <v>583</v>
      </c>
      <c r="C229" t="s">
        <v>33</v>
      </c>
      <c r="D229" t="s">
        <v>589</v>
      </c>
      <c r="E229" t="s">
        <v>23</v>
      </c>
      <c r="F229">
        <v>113</v>
      </c>
      <c r="G229">
        <v>58</v>
      </c>
      <c r="H229" t="s">
        <v>585</v>
      </c>
      <c r="I229" t="s">
        <v>15</v>
      </c>
      <c r="J229">
        <v>113</v>
      </c>
    </row>
    <row r="230" spans="1:10" x14ac:dyDescent="0.35">
      <c r="A230">
        <v>1166514</v>
      </c>
      <c r="B230" t="s">
        <v>590</v>
      </c>
      <c r="C230" t="s">
        <v>11</v>
      </c>
      <c r="D230" t="s">
        <v>591</v>
      </c>
      <c r="E230" t="s">
        <v>39</v>
      </c>
      <c r="F230">
        <v>229</v>
      </c>
      <c r="G230">
        <v>115</v>
      </c>
      <c r="H230" t="s">
        <v>592</v>
      </c>
      <c r="I230" t="s">
        <v>20</v>
      </c>
      <c r="J230">
        <v>229</v>
      </c>
    </row>
    <row r="231" spans="1:10" x14ac:dyDescent="0.35">
      <c r="A231">
        <v>30034</v>
      </c>
      <c r="B231" t="s">
        <v>593</v>
      </c>
      <c r="C231" t="s">
        <v>11</v>
      </c>
      <c r="D231" t="s">
        <v>594</v>
      </c>
      <c r="E231" t="s">
        <v>59</v>
      </c>
      <c r="F231">
        <v>251</v>
      </c>
      <c r="G231">
        <v>127</v>
      </c>
      <c r="H231" t="s">
        <v>595</v>
      </c>
      <c r="I231" t="s">
        <v>20</v>
      </c>
      <c r="J231">
        <v>251</v>
      </c>
    </row>
    <row r="232" spans="1:10" x14ac:dyDescent="0.35">
      <c r="A232">
        <v>29953</v>
      </c>
      <c r="B232" t="s">
        <v>188</v>
      </c>
      <c r="C232" t="s">
        <v>11</v>
      </c>
      <c r="D232" t="s">
        <v>596</v>
      </c>
      <c r="E232" t="s">
        <v>59</v>
      </c>
      <c r="F232">
        <v>242</v>
      </c>
      <c r="G232">
        <v>144</v>
      </c>
      <c r="H232" t="s">
        <v>597</v>
      </c>
      <c r="I232" t="s">
        <v>20</v>
      </c>
      <c r="J232">
        <v>242</v>
      </c>
    </row>
    <row r="233" spans="1:10" x14ac:dyDescent="0.35">
      <c r="A233">
        <v>29909</v>
      </c>
      <c r="B233" t="s">
        <v>32</v>
      </c>
      <c r="C233" t="s">
        <v>72</v>
      </c>
      <c r="D233" t="s">
        <v>598</v>
      </c>
      <c r="E233" t="s">
        <v>145</v>
      </c>
      <c r="F233">
        <v>140</v>
      </c>
      <c r="G233">
        <v>72</v>
      </c>
      <c r="H233" t="s">
        <v>599</v>
      </c>
      <c r="I233" t="s">
        <v>20</v>
      </c>
      <c r="J233">
        <v>140</v>
      </c>
    </row>
    <row r="234" spans="1:10" x14ac:dyDescent="0.35">
      <c r="B234" t="s">
        <v>600</v>
      </c>
      <c r="C234" t="s">
        <v>11</v>
      </c>
      <c r="D234" t="s">
        <v>601</v>
      </c>
      <c r="E234" t="s">
        <v>39</v>
      </c>
      <c r="F234">
        <v>263</v>
      </c>
      <c r="G234">
        <v>133</v>
      </c>
      <c r="H234" t="s">
        <v>602</v>
      </c>
      <c r="I234" t="s">
        <v>20</v>
      </c>
      <c r="J234">
        <v>263</v>
      </c>
    </row>
    <row r="235" spans="1:10" x14ac:dyDescent="0.35">
      <c r="A235">
        <v>30054</v>
      </c>
      <c r="B235" t="s">
        <v>603</v>
      </c>
      <c r="C235" t="s">
        <v>33</v>
      </c>
      <c r="D235" t="s">
        <v>604</v>
      </c>
      <c r="E235" t="s">
        <v>39</v>
      </c>
      <c r="F235">
        <v>215</v>
      </c>
      <c r="G235">
        <v>109</v>
      </c>
      <c r="H235" t="s">
        <v>605</v>
      </c>
      <c r="I235" t="s">
        <v>20</v>
      </c>
      <c r="J235">
        <v>215</v>
      </c>
    </row>
    <row r="236" spans="1:10" x14ac:dyDescent="0.35">
      <c r="A236">
        <v>30054</v>
      </c>
      <c r="B236" t="s">
        <v>603</v>
      </c>
      <c r="C236" t="s">
        <v>25</v>
      </c>
      <c r="D236" t="s">
        <v>606</v>
      </c>
      <c r="E236" t="s">
        <v>39</v>
      </c>
      <c r="F236">
        <v>215</v>
      </c>
      <c r="G236">
        <v>109</v>
      </c>
      <c r="H236" t="s">
        <v>607</v>
      </c>
      <c r="I236" t="s">
        <v>20</v>
      </c>
      <c r="J236">
        <v>215</v>
      </c>
    </row>
    <row r="237" spans="1:10" x14ac:dyDescent="0.35">
      <c r="A237">
        <v>30054</v>
      </c>
      <c r="B237" t="s">
        <v>603</v>
      </c>
      <c r="C237" t="s">
        <v>11</v>
      </c>
      <c r="D237" t="s">
        <v>608</v>
      </c>
      <c r="E237" t="s">
        <v>39</v>
      </c>
      <c r="F237">
        <v>215</v>
      </c>
      <c r="G237">
        <v>109</v>
      </c>
      <c r="H237" t="s">
        <v>609</v>
      </c>
      <c r="I237" t="s">
        <v>20</v>
      </c>
      <c r="J237">
        <v>215</v>
      </c>
    </row>
    <row r="238" spans="1:10" x14ac:dyDescent="0.35">
      <c r="A238">
        <v>30052</v>
      </c>
      <c r="B238" t="s">
        <v>610</v>
      </c>
      <c r="C238" t="s">
        <v>25</v>
      </c>
      <c r="D238" t="s">
        <v>611</v>
      </c>
      <c r="E238" t="s">
        <v>59</v>
      </c>
      <c r="F238">
        <v>217</v>
      </c>
      <c r="G238">
        <v>136</v>
      </c>
      <c r="H238" t="s">
        <v>612</v>
      </c>
      <c r="I238" t="s">
        <v>20</v>
      </c>
      <c r="J238">
        <v>217</v>
      </c>
    </row>
    <row r="239" spans="1:10" x14ac:dyDescent="0.35">
      <c r="A239">
        <v>1139592</v>
      </c>
      <c r="B239" t="s">
        <v>613</v>
      </c>
      <c r="C239" t="s">
        <v>33</v>
      </c>
      <c r="D239" t="s">
        <v>614</v>
      </c>
      <c r="E239" t="s">
        <v>30</v>
      </c>
      <c r="F239">
        <v>151</v>
      </c>
      <c r="G239">
        <v>77</v>
      </c>
      <c r="H239" t="s">
        <v>615</v>
      </c>
      <c r="I239" t="s">
        <v>20</v>
      </c>
      <c r="J239">
        <v>151</v>
      </c>
    </row>
    <row r="240" spans="1:10" x14ac:dyDescent="0.35">
      <c r="A240">
        <v>30052</v>
      </c>
      <c r="B240" t="s">
        <v>610</v>
      </c>
      <c r="C240" t="s">
        <v>11</v>
      </c>
      <c r="D240" t="s">
        <v>616</v>
      </c>
      <c r="E240" t="s">
        <v>59</v>
      </c>
      <c r="F240">
        <v>217</v>
      </c>
      <c r="G240">
        <v>136</v>
      </c>
      <c r="H240" t="s">
        <v>617</v>
      </c>
      <c r="I240" t="s">
        <v>20</v>
      </c>
      <c r="J240">
        <v>217</v>
      </c>
    </row>
    <row r="241" spans="1:10" x14ac:dyDescent="0.35">
      <c r="A241">
        <v>1139592</v>
      </c>
      <c r="B241" t="s">
        <v>613</v>
      </c>
      <c r="C241" t="s">
        <v>25</v>
      </c>
      <c r="D241" t="s">
        <v>618</v>
      </c>
      <c r="E241" t="s">
        <v>30</v>
      </c>
      <c r="F241">
        <v>151</v>
      </c>
      <c r="G241">
        <v>77</v>
      </c>
      <c r="H241" t="s">
        <v>615</v>
      </c>
      <c r="I241" t="s">
        <v>20</v>
      </c>
      <c r="J241">
        <v>151</v>
      </c>
    </row>
    <row r="242" spans="1:10" x14ac:dyDescent="0.35">
      <c r="B242" t="s">
        <v>619</v>
      </c>
      <c r="C242" t="s">
        <v>11</v>
      </c>
      <c r="D242" t="s">
        <v>620</v>
      </c>
      <c r="E242" t="s">
        <v>108</v>
      </c>
      <c r="F242">
        <v>110</v>
      </c>
      <c r="G242">
        <v>55</v>
      </c>
      <c r="H242" t="s">
        <v>621</v>
      </c>
      <c r="I242" t="s">
        <v>15</v>
      </c>
      <c r="J242">
        <v>110</v>
      </c>
    </row>
    <row r="243" spans="1:10" x14ac:dyDescent="0.35">
      <c r="A243">
        <v>1139592</v>
      </c>
      <c r="B243" t="s">
        <v>613</v>
      </c>
      <c r="C243" t="s">
        <v>11</v>
      </c>
      <c r="D243" t="s">
        <v>622</v>
      </c>
      <c r="E243" t="s">
        <v>30</v>
      </c>
      <c r="F243">
        <v>151</v>
      </c>
      <c r="G243">
        <v>77</v>
      </c>
      <c r="H243" t="s">
        <v>615</v>
      </c>
      <c r="I243" t="s">
        <v>20</v>
      </c>
      <c r="J243">
        <v>151</v>
      </c>
    </row>
    <row r="244" spans="1:10" x14ac:dyDescent="0.35">
      <c r="A244">
        <v>30055</v>
      </c>
      <c r="B244" t="s">
        <v>623</v>
      </c>
      <c r="C244" t="s">
        <v>11</v>
      </c>
      <c r="D244" t="s">
        <v>624</v>
      </c>
      <c r="E244" t="s">
        <v>39</v>
      </c>
      <c r="F244">
        <v>236</v>
      </c>
      <c r="G244">
        <v>119</v>
      </c>
      <c r="H244" t="s">
        <v>625</v>
      </c>
      <c r="I244" t="s">
        <v>20</v>
      </c>
      <c r="J244">
        <v>236</v>
      </c>
    </row>
    <row r="245" spans="1:10" x14ac:dyDescent="0.35">
      <c r="A245">
        <v>29899</v>
      </c>
      <c r="B245" t="s">
        <v>626</v>
      </c>
      <c r="C245" t="s">
        <v>11</v>
      </c>
      <c r="D245" t="s">
        <v>627</v>
      </c>
      <c r="E245" t="s">
        <v>469</v>
      </c>
      <c r="F245">
        <v>210</v>
      </c>
      <c r="G245">
        <v>113</v>
      </c>
      <c r="H245" t="s">
        <v>628</v>
      </c>
      <c r="I245" t="s">
        <v>20</v>
      </c>
      <c r="J245">
        <v>210</v>
      </c>
    </row>
    <row r="246" spans="1:10" x14ac:dyDescent="0.35">
      <c r="B246" t="s">
        <v>629</v>
      </c>
      <c r="C246" t="s">
        <v>25</v>
      </c>
      <c r="D246" t="s">
        <v>630</v>
      </c>
      <c r="E246" t="s">
        <v>415</v>
      </c>
      <c r="F246">
        <v>230</v>
      </c>
      <c r="G246">
        <v>115</v>
      </c>
      <c r="H246" t="s">
        <v>631</v>
      </c>
      <c r="I246" t="s">
        <v>15</v>
      </c>
      <c r="J246">
        <v>230</v>
      </c>
    </row>
    <row r="247" spans="1:10" x14ac:dyDescent="0.35">
      <c r="A247">
        <v>29435</v>
      </c>
      <c r="B247" t="s">
        <v>632</v>
      </c>
      <c r="C247" t="s">
        <v>277</v>
      </c>
      <c r="D247" t="s">
        <v>633</v>
      </c>
      <c r="E247" t="s">
        <v>469</v>
      </c>
      <c r="F247">
        <v>190</v>
      </c>
      <c r="G247">
        <v>98</v>
      </c>
      <c r="H247" t="s">
        <v>634</v>
      </c>
      <c r="I247" t="s">
        <v>20</v>
      </c>
      <c r="J247">
        <v>190</v>
      </c>
    </row>
    <row r="248" spans="1:10" x14ac:dyDescent="0.35">
      <c r="B248" t="s">
        <v>629</v>
      </c>
      <c r="C248" t="s">
        <v>11</v>
      </c>
      <c r="D248" t="s">
        <v>635</v>
      </c>
      <c r="E248" t="s">
        <v>415</v>
      </c>
      <c r="F248">
        <v>230</v>
      </c>
      <c r="G248">
        <v>115</v>
      </c>
      <c r="H248" t="s">
        <v>631</v>
      </c>
      <c r="I248" t="s">
        <v>15</v>
      </c>
      <c r="J248">
        <v>230</v>
      </c>
    </row>
    <row r="249" spans="1:10" x14ac:dyDescent="0.35">
      <c r="A249">
        <v>29909</v>
      </c>
      <c r="B249" t="s">
        <v>32</v>
      </c>
      <c r="C249" t="s">
        <v>65</v>
      </c>
      <c r="D249" t="s">
        <v>636</v>
      </c>
      <c r="E249" t="s">
        <v>145</v>
      </c>
      <c r="F249">
        <v>140</v>
      </c>
      <c r="G249">
        <v>72</v>
      </c>
      <c r="H249" t="s">
        <v>637</v>
      </c>
      <c r="I249" t="s">
        <v>20</v>
      </c>
      <c r="J249">
        <v>140</v>
      </c>
    </row>
    <row r="250" spans="1:10" x14ac:dyDescent="0.35">
      <c r="A250">
        <v>29892</v>
      </c>
      <c r="B250" t="s">
        <v>638</v>
      </c>
      <c r="C250" t="s">
        <v>25</v>
      </c>
      <c r="D250" t="s">
        <v>639</v>
      </c>
      <c r="E250" t="s">
        <v>39</v>
      </c>
      <c r="F250">
        <v>216</v>
      </c>
      <c r="G250">
        <v>110</v>
      </c>
      <c r="H250" t="s">
        <v>640</v>
      </c>
      <c r="I250" t="s">
        <v>20</v>
      </c>
      <c r="J250">
        <v>216</v>
      </c>
    </row>
    <row r="251" spans="1:10" x14ac:dyDescent="0.35">
      <c r="A251">
        <v>29892</v>
      </c>
      <c r="B251" t="s">
        <v>638</v>
      </c>
      <c r="C251" t="s">
        <v>11</v>
      </c>
      <c r="D251" t="s">
        <v>641</v>
      </c>
      <c r="E251" t="s">
        <v>39</v>
      </c>
      <c r="F251">
        <v>216</v>
      </c>
      <c r="G251">
        <v>110</v>
      </c>
      <c r="H251" t="s">
        <v>642</v>
      </c>
      <c r="I251" t="s">
        <v>20</v>
      </c>
      <c r="J251">
        <v>216</v>
      </c>
    </row>
    <row r="252" spans="1:10" x14ac:dyDescent="0.35">
      <c r="B252" t="s">
        <v>643</v>
      </c>
      <c r="C252" t="s">
        <v>11</v>
      </c>
      <c r="D252" t="s">
        <v>644</v>
      </c>
      <c r="E252" t="s">
        <v>13</v>
      </c>
      <c r="F252">
        <v>77</v>
      </c>
      <c r="G252">
        <v>39</v>
      </c>
      <c r="H252" t="s">
        <v>645</v>
      </c>
      <c r="I252" t="s">
        <v>15</v>
      </c>
      <c r="J252">
        <v>77</v>
      </c>
    </row>
    <row r="253" spans="1:10" x14ac:dyDescent="0.35">
      <c r="A253">
        <v>879835</v>
      </c>
      <c r="B253" t="s">
        <v>646</v>
      </c>
      <c r="C253" t="s">
        <v>277</v>
      </c>
      <c r="D253" t="s">
        <v>647</v>
      </c>
      <c r="E253" t="s">
        <v>96</v>
      </c>
      <c r="F253">
        <v>164</v>
      </c>
      <c r="G253">
        <v>85</v>
      </c>
      <c r="H253" t="s">
        <v>648</v>
      </c>
      <c r="I253" t="s">
        <v>20</v>
      </c>
      <c r="J253">
        <v>164</v>
      </c>
    </row>
    <row r="254" spans="1:10" x14ac:dyDescent="0.35">
      <c r="A254">
        <v>29425</v>
      </c>
      <c r="B254" t="s">
        <v>649</v>
      </c>
      <c r="C254" t="s">
        <v>11</v>
      </c>
      <c r="D254" t="s">
        <v>650</v>
      </c>
      <c r="E254" t="s">
        <v>39</v>
      </c>
      <c r="F254">
        <v>220</v>
      </c>
      <c r="G254">
        <v>112</v>
      </c>
      <c r="H254" t="s">
        <v>651</v>
      </c>
      <c r="I254" t="s">
        <v>20</v>
      </c>
      <c r="J254">
        <v>220</v>
      </c>
    </row>
    <row r="255" spans="1:10" x14ac:dyDescent="0.35">
      <c r="A255">
        <v>5769329</v>
      </c>
      <c r="B255" t="s">
        <v>652</v>
      </c>
      <c r="C255" t="s">
        <v>25</v>
      </c>
      <c r="D255" t="s">
        <v>653</v>
      </c>
      <c r="E255" t="s">
        <v>70</v>
      </c>
      <c r="F255">
        <v>220</v>
      </c>
      <c r="G255">
        <v>103</v>
      </c>
      <c r="H255" t="s">
        <v>654</v>
      </c>
      <c r="I255" t="s">
        <v>15</v>
      </c>
      <c r="J255">
        <v>220</v>
      </c>
    </row>
    <row r="256" spans="1:10" x14ac:dyDescent="0.35">
      <c r="A256">
        <v>29422</v>
      </c>
      <c r="B256" t="s">
        <v>655</v>
      </c>
      <c r="C256" t="s">
        <v>11</v>
      </c>
      <c r="D256" t="s">
        <v>656</v>
      </c>
      <c r="E256" t="s">
        <v>145</v>
      </c>
      <c r="F256">
        <v>150</v>
      </c>
      <c r="G256">
        <v>93</v>
      </c>
      <c r="H256" t="s">
        <v>657</v>
      </c>
      <c r="I256" t="s">
        <v>20</v>
      </c>
      <c r="J256">
        <v>150</v>
      </c>
    </row>
    <row r="257" spans="1:10" x14ac:dyDescent="0.35">
      <c r="A257">
        <v>5769329</v>
      </c>
      <c r="B257" t="s">
        <v>652</v>
      </c>
      <c r="C257" t="s">
        <v>11</v>
      </c>
      <c r="D257" t="s">
        <v>658</v>
      </c>
      <c r="E257" t="s">
        <v>70</v>
      </c>
      <c r="F257">
        <v>220</v>
      </c>
      <c r="G257">
        <v>103</v>
      </c>
      <c r="H257" t="s">
        <v>654</v>
      </c>
      <c r="I257" t="s">
        <v>15</v>
      </c>
      <c r="J257">
        <v>220</v>
      </c>
    </row>
    <row r="258" spans="1:10" x14ac:dyDescent="0.35">
      <c r="A258">
        <v>29422</v>
      </c>
      <c r="B258" t="s">
        <v>655</v>
      </c>
      <c r="C258" t="s">
        <v>25</v>
      </c>
      <c r="D258" t="s">
        <v>659</v>
      </c>
      <c r="E258" t="s">
        <v>145</v>
      </c>
      <c r="F258">
        <v>150</v>
      </c>
      <c r="G258">
        <v>93</v>
      </c>
      <c r="H258" t="s">
        <v>660</v>
      </c>
      <c r="I258" t="s">
        <v>20</v>
      </c>
      <c r="J258">
        <v>150</v>
      </c>
    </row>
    <row r="259" spans="1:10" x14ac:dyDescent="0.35">
      <c r="B259" t="s">
        <v>661</v>
      </c>
      <c r="C259" t="s">
        <v>25</v>
      </c>
      <c r="D259" t="s">
        <v>662</v>
      </c>
      <c r="E259" t="s">
        <v>13</v>
      </c>
      <c r="F259">
        <v>58</v>
      </c>
      <c r="G259">
        <v>29</v>
      </c>
      <c r="H259" t="s">
        <v>663</v>
      </c>
      <c r="I259" t="s">
        <v>15</v>
      </c>
      <c r="J259">
        <v>58</v>
      </c>
    </row>
    <row r="260" spans="1:10" x14ac:dyDescent="0.35">
      <c r="A260">
        <v>840211</v>
      </c>
      <c r="B260" t="s">
        <v>664</v>
      </c>
      <c r="C260" t="s">
        <v>11</v>
      </c>
      <c r="D260" t="s">
        <v>665</v>
      </c>
      <c r="E260" t="s">
        <v>30</v>
      </c>
      <c r="F260">
        <v>194</v>
      </c>
      <c r="G260">
        <v>95</v>
      </c>
      <c r="H260" t="s">
        <v>666</v>
      </c>
      <c r="I260" t="s">
        <v>20</v>
      </c>
      <c r="J260">
        <v>194</v>
      </c>
    </row>
    <row r="261" spans="1:10" x14ac:dyDescent="0.35">
      <c r="B261" t="s">
        <v>661</v>
      </c>
      <c r="C261" t="s">
        <v>11</v>
      </c>
      <c r="D261" t="s">
        <v>667</v>
      </c>
      <c r="E261" t="s">
        <v>13</v>
      </c>
      <c r="F261">
        <v>58</v>
      </c>
      <c r="G261">
        <v>29</v>
      </c>
      <c r="H261" t="s">
        <v>663</v>
      </c>
      <c r="I261" t="s">
        <v>15</v>
      </c>
      <c r="J261">
        <v>58</v>
      </c>
    </row>
    <row r="262" spans="1:10" x14ac:dyDescent="0.35">
      <c r="A262">
        <v>840211</v>
      </c>
      <c r="B262" t="s">
        <v>664</v>
      </c>
      <c r="C262" t="s">
        <v>25</v>
      </c>
      <c r="D262" t="s">
        <v>668</v>
      </c>
      <c r="E262" t="s">
        <v>30</v>
      </c>
      <c r="F262">
        <v>194</v>
      </c>
      <c r="G262">
        <v>95</v>
      </c>
      <c r="H262" t="s">
        <v>669</v>
      </c>
      <c r="I262" t="s">
        <v>20</v>
      </c>
      <c r="J262">
        <v>194</v>
      </c>
    </row>
    <row r="263" spans="1:10" x14ac:dyDescent="0.35">
      <c r="A263">
        <v>29893</v>
      </c>
      <c r="B263" t="s">
        <v>670</v>
      </c>
      <c r="C263" t="s">
        <v>25</v>
      </c>
      <c r="D263" t="s">
        <v>671</v>
      </c>
      <c r="E263" t="s">
        <v>145</v>
      </c>
      <c r="F263">
        <v>162</v>
      </c>
      <c r="G263">
        <v>82</v>
      </c>
      <c r="H263" t="s">
        <v>672</v>
      </c>
      <c r="I263" t="s">
        <v>20</v>
      </c>
      <c r="J263">
        <v>162</v>
      </c>
    </row>
    <row r="264" spans="1:10" x14ac:dyDescent="0.35">
      <c r="A264">
        <v>29893</v>
      </c>
      <c r="B264" t="s">
        <v>670</v>
      </c>
      <c r="C264" t="s">
        <v>11</v>
      </c>
      <c r="D264" t="s">
        <v>673</v>
      </c>
      <c r="E264" t="s">
        <v>145</v>
      </c>
      <c r="F264">
        <v>162</v>
      </c>
      <c r="G264">
        <v>82</v>
      </c>
      <c r="H264" t="s">
        <v>674</v>
      </c>
      <c r="I264" t="s">
        <v>20</v>
      </c>
      <c r="J264">
        <v>162</v>
      </c>
    </row>
    <row r="265" spans="1:10" x14ac:dyDescent="0.35">
      <c r="A265">
        <v>47201</v>
      </c>
      <c r="B265" t="s">
        <v>675</v>
      </c>
      <c r="C265" t="s">
        <v>11</v>
      </c>
      <c r="D265" t="s">
        <v>676</v>
      </c>
      <c r="E265" t="s">
        <v>39</v>
      </c>
      <c r="F265">
        <v>264</v>
      </c>
      <c r="G265">
        <v>134</v>
      </c>
      <c r="H265" t="s">
        <v>677</v>
      </c>
      <c r="I265" t="s">
        <v>20</v>
      </c>
      <c r="J265">
        <v>264</v>
      </c>
    </row>
    <row r="266" spans="1:10" x14ac:dyDescent="0.35">
      <c r="B266" t="s">
        <v>678</v>
      </c>
      <c r="C266" t="s">
        <v>25</v>
      </c>
      <c r="D266" t="s">
        <v>679</v>
      </c>
      <c r="E266" t="s">
        <v>13</v>
      </c>
      <c r="F266">
        <v>44</v>
      </c>
      <c r="G266">
        <v>22</v>
      </c>
      <c r="H266" t="s">
        <v>680</v>
      </c>
      <c r="I266" t="s">
        <v>15</v>
      </c>
      <c r="J266">
        <v>44</v>
      </c>
    </row>
    <row r="267" spans="1:10" x14ac:dyDescent="0.35">
      <c r="A267">
        <v>30471</v>
      </c>
      <c r="B267" t="s">
        <v>681</v>
      </c>
      <c r="C267" t="s">
        <v>25</v>
      </c>
      <c r="D267" t="s">
        <v>682</v>
      </c>
      <c r="E267" t="s">
        <v>30</v>
      </c>
      <c r="F267">
        <v>228</v>
      </c>
      <c r="G267">
        <v>122</v>
      </c>
      <c r="H267" t="s">
        <v>683</v>
      </c>
      <c r="I267" t="s">
        <v>20</v>
      </c>
      <c r="J267">
        <v>228</v>
      </c>
    </row>
    <row r="268" spans="1:10" x14ac:dyDescent="0.35">
      <c r="B268" t="s">
        <v>678</v>
      </c>
      <c r="C268" t="s">
        <v>11</v>
      </c>
      <c r="D268" t="s">
        <v>684</v>
      </c>
      <c r="E268" t="s">
        <v>13</v>
      </c>
      <c r="F268">
        <v>44</v>
      </c>
      <c r="G268">
        <v>22</v>
      </c>
      <c r="H268" t="s">
        <v>680</v>
      </c>
      <c r="I268" t="s">
        <v>15</v>
      </c>
      <c r="J268">
        <v>44</v>
      </c>
    </row>
    <row r="269" spans="1:10" x14ac:dyDescent="0.35">
      <c r="A269">
        <v>30471</v>
      </c>
      <c r="B269" t="s">
        <v>681</v>
      </c>
      <c r="C269" t="s">
        <v>11</v>
      </c>
      <c r="D269" t="s">
        <v>685</v>
      </c>
      <c r="E269" t="s">
        <v>30</v>
      </c>
      <c r="F269">
        <v>228</v>
      </c>
      <c r="G269">
        <v>122</v>
      </c>
      <c r="H269" t="s">
        <v>686</v>
      </c>
      <c r="I269" t="s">
        <v>20</v>
      </c>
      <c r="J269">
        <v>228</v>
      </c>
    </row>
    <row r="270" spans="1:10" x14ac:dyDescent="0.35">
      <c r="B270" t="s">
        <v>687</v>
      </c>
      <c r="C270" t="s">
        <v>11</v>
      </c>
      <c r="D270" t="s">
        <v>688</v>
      </c>
      <c r="E270" t="s">
        <v>247</v>
      </c>
      <c r="F270">
        <v>380</v>
      </c>
      <c r="G270">
        <v>191</v>
      </c>
      <c r="H270" t="s">
        <v>689</v>
      </c>
      <c r="I270" t="s">
        <v>20</v>
      </c>
      <c r="J270">
        <v>380</v>
      </c>
    </row>
    <row r="271" spans="1:10" x14ac:dyDescent="0.35">
      <c r="A271">
        <v>757624</v>
      </c>
      <c r="B271" t="s">
        <v>690</v>
      </c>
      <c r="C271" t="s">
        <v>11</v>
      </c>
      <c r="D271" t="s">
        <v>691</v>
      </c>
      <c r="E271" t="s">
        <v>247</v>
      </c>
      <c r="F271">
        <v>378</v>
      </c>
      <c r="G271">
        <v>191</v>
      </c>
      <c r="H271" t="s">
        <v>692</v>
      </c>
      <c r="I271" t="s">
        <v>20</v>
      </c>
      <c r="J271">
        <v>378</v>
      </c>
    </row>
    <row r="272" spans="1:10" x14ac:dyDescent="0.35">
      <c r="B272" t="s">
        <v>693</v>
      </c>
      <c r="C272" t="s">
        <v>25</v>
      </c>
      <c r="D272" t="s">
        <v>694</v>
      </c>
      <c r="E272" t="s">
        <v>108</v>
      </c>
      <c r="F272">
        <v>151</v>
      </c>
      <c r="G272">
        <v>76</v>
      </c>
      <c r="H272" t="s">
        <v>695</v>
      </c>
      <c r="I272" t="s">
        <v>15</v>
      </c>
      <c r="J272">
        <v>151</v>
      </c>
    </row>
    <row r="273" spans="1:10" x14ac:dyDescent="0.35">
      <c r="A273">
        <v>30083</v>
      </c>
      <c r="B273" t="s">
        <v>696</v>
      </c>
      <c r="C273" t="s">
        <v>11</v>
      </c>
      <c r="D273" t="s">
        <v>697</v>
      </c>
      <c r="E273" t="s">
        <v>30</v>
      </c>
      <c r="F273">
        <v>220</v>
      </c>
      <c r="G273">
        <v>119</v>
      </c>
      <c r="H273" t="s">
        <v>698</v>
      </c>
      <c r="I273" t="s">
        <v>20</v>
      </c>
      <c r="J273">
        <v>220</v>
      </c>
    </row>
    <row r="274" spans="1:10" x14ac:dyDescent="0.35">
      <c r="B274" t="s">
        <v>693</v>
      </c>
      <c r="C274" t="s">
        <v>11</v>
      </c>
      <c r="D274" t="s">
        <v>699</v>
      </c>
      <c r="E274" t="s">
        <v>108</v>
      </c>
      <c r="F274">
        <v>151</v>
      </c>
      <c r="G274">
        <v>76</v>
      </c>
      <c r="H274" t="s">
        <v>695</v>
      </c>
      <c r="I274" t="s">
        <v>15</v>
      </c>
      <c r="J274">
        <v>151</v>
      </c>
    </row>
    <row r="275" spans="1:10" x14ac:dyDescent="0.35">
      <c r="A275">
        <v>30474</v>
      </c>
      <c r="B275" t="s">
        <v>700</v>
      </c>
      <c r="C275" t="s">
        <v>25</v>
      </c>
      <c r="D275" t="s">
        <v>701</v>
      </c>
      <c r="E275" t="s">
        <v>59</v>
      </c>
      <c r="F275">
        <v>234</v>
      </c>
      <c r="G275">
        <v>118</v>
      </c>
      <c r="H275" t="s">
        <v>702</v>
      </c>
      <c r="I275" t="s">
        <v>20</v>
      </c>
      <c r="J275">
        <v>234</v>
      </c>
    </row>
    <row r="276" spans="1:10" x14ac:dyDescent="0.35">
      <c r="A276">
        <v>5649080</v>
      </c>
      <c r="B276" t="s">
        <v>703</v>
      </c>
      <c r="C276" t="s">
        <v>11</v>
      </c>
      <c r="D276" t="s">
        <v>704</v>
      </c>
      <c r="E276" t="s">
        <v>70</v>
      </c>
      <c r="F276">
        <v>212</v>
      </c>
      <c r="G276">
        <v>106</v>
      </c>
      <c r="H276" t="s">
        <v>705</v>
      </c>
      <c r="I276" t="s">
        <v>15</v>
      </c>
      <c r="J276">
        <v>212</v>
      </c>
    </row>
    <row r="277" spans="1:10" x14ac:dyDescent="0.35">
      <c r="A277">
        <v>30474</v>
      </c>
      <c r="B277" t="s">
        <v>700</v>
      </c>
      <c r="C277" t="s">
        <v>11</v>
      </c>
      <c r="D277" t="s">
        <v>706</v>
      </c>
      <c r="E277" t="s">
        <v>59</v>
      </c>
      <c r="F277">
        <v>234</v>
      </c>
      <c r="G277">
        <v>118</v>
      </c>
      <c r="H277" t="s">
        <v>707</v>
      </c>
      <c r="I277" t="s">
        <v>20</v>
      </c>
      <c r="J277">
        <v>234</v>
      </c>
    </row>
    <row r="278" spans="1:10" x14ac:dyDescent="0.35">
      <c r="A278">
        <v>5649080</v>
      </c>
      <c r="B278" t="s">
        <v>703</v>
      </c>
      <c r="C278" t="s">
        <v>25</v>
      </c>
      <c r="D278" t="s">
        <v>708</v>
      </c>
      <c r="E278" t="s">
        <v>70</v>
      </c>
      <c r="F278">
        <v>212</v>
      </c>
      <c r="G278">
        <v>106</v>
      </c>
      <c r="H278" t="s">
        <v>705</v>
      </c>
      <c r="I278" t="s">
        <v>15</v>
      </c>
      <c r="J278">
        <v>212</v>
      </c>
    </row>
    <row r="279" spans="1:10" x14ac:dyDescent="0.35">
      <c r="A279">
        <v>30665</v>
      </c>
      <c r="B279" t="s">
        <v>709</v>
      </c>
      <c r="C279" t="s">
        <v>25</v>
      </c>
      <c r="D279" t="s">
        <v>710</v>
      </c>
      <c r="E279" t="s">
        <v>711</v>
      </c>
      <c r="F279">
        <v>122</v>
      </c>
      <c r="G279">
        <v>63</v>
      </c>
      <c r="H279" t="s">
        <v>712</v>
      </c>
      <c r="I279" t="s">
        <v>20</v>
      </c>
      <c r="J279">
        <v>122</v>
      </c>
    </row>
    <row r="280" spans="1:10" x14ac:dyDescent="0.35">
      <c r="A280">
        <v>30665</v>
      </c>
      <c r="B280" t="s">
        <v>709</v>
      </c>
      <c r="C280" t="s">
        <v>11</v>
      </c>
      <c r="D280" t="s">
        <v>713</v>
      </c>
      <c r="E280" t="s">
        <v>711</v>
      </c>
      <c r="F280">
        <v>122</v>
      </c>
      <c r="G280">
        <v>63</v>
      </c>
      <c r="H280" t="s">
        <v>714</v>
      </c>
      <c r="I280" t="s">
        <v>20</v>
      </c>
      <c r="J280">
        <v>122</v>
      </c>
    </row>
    <row r="281" spans="1:10" x14ac:dyDescent="0.35">
      <c r="A281">
        <v>44861</v>
      </c>
      <c r="B281" t="s">
        <v>715</v>
      </c>
      <c r="C281" t="s">
        <v>11</v>
      </c>
      <c r="D281" t="s">
        <v>716</v>
      </c>
      <c r="E281" t="s">
        <v>39</v>
      </c>
      <c r="F281">
        <v>246</v>
      </c>
      <c r="G281">
        <v>124</v>
      </c>
      <c r="H281" t="s">
        <v>717</v>
      </c>
      <c r="I281" t="s">
        <v>20</v>
      </c>
      <c r="J281">
        <v>246</v>
      </c>
    </row>
    <row r="282" spans="1:10" x14ac:dyDescent="0.35">
      <c r="A282">
        <v>30084</v>
      </c>
      <c r="B282" t="s">
        <v>718</v>
      </c>
      <c r="C282" t="s">
        <v>33</v>
      </c>
      <c r="D282" t="s">
        <v>719</v>
      </c>
      <c r="E282" t="s">
        <v>59</v>
      </c>
      <c r="F282">
        <v>248</v>
      </c>
      <c r="G282">
        <v>126</v>
      </c>
      <c r="H282" t="s">
        <v>720</v>
      </c>
      <c r="I282" t="s">
        <v>20</v>
      </c>
      <c r="J282">
        <v>248</v>
      </c>
    </row>
    <row r="283" spans="1:10" x14ac:dyDescent="0.35">
      <c r="A283">
        <v>5701775</v>
      </c>
      <c r="B283" t="s">
        <v>721</v>
      </c>
      <c r="C283" t="s">
        <v>11</v>
      </c>
      <c r="D283" t="s">
        <v>722</v>
      </c>
      <c r="E283" t="s">
        <v>13</v>
      </c>
      <c r="F283">
        <v>28</v>
      </c>
      <c r="G283">
        <v>14</v>
      </c>
      <c r="H283" t="s">
        <v>723</v>
      </c>
      <c r="I283" t="s">
        <v>15</v>
      </c>
      <c r="J283">
        <v>28</v>
      </c>
    </row>
    <row r="284" spans="1:10" x14ac:dyDescent="0.35">
      <c r="A284">
        <v>30084</v>
      </c>
      <c r="B284" t="s">
        <v>718</v>
      </c>
      <c r="C284" t="s">
        <v>25</v>
      </c>
      <c r="D284" t="s">
        <v>724</v>
      </c>
      <c r="E284" t="s">
        <v>59</v>
      </c>
      <c r="F284">
        <v>248</v>
      </c>
      <c r="G284">
        <v>126</v>
      </c>
      <c r="H284" t="s">
        <v>720</v>
      </c>
      <c r="I284" t="s">
        <v>20</v>
      </c>
      <c r="J284">
        <v>248</v>
      </c>
    </row>
    <row r="285" spans="1:10" x14ac:dyDescent="0.35">
      <c r="A285">
        <v>30084</v>
      </c>
      <c r="B285" t="s">
        <v>718</v>
      </c>
      <c r="C285" t="s">
        <v>11</v>
      </c>
      <c r="D285" t="s">
        <v>725</v>
      </c>
      <c r="E285" t="s">
        <v>59</v>
      </c>
      <c r="F285">
        <v>248</v>
      </c>
      <c r="G285">
        <v>126</v>
      </c>
      <c r="H285" t="s">
        <v>726</v>
      </c>
      <c r="I285" t="s">
        <v>20</v>
      </c>
      <c r="J285">
        <v>248</v>
      </c>
    </row>
    <row r="286" spans="1:10" x14ac:dyDescent="0.35">
      <c r="A286">
        <v>30461</v>
      </c>
      <c r="B286" t="s">
        <v>727</v>
      </c>
      <c r="C286" t="s">
        <v>11</v>
      </c>
      <c r="D286" t="s">
        <v>728</v>
      </c>
      <c r="E286" t="s">
        <v>96</v>
      </c>
      <c r="F286">
        <v>168</v>
      </c>
      <c r="G286">
        <v>83</v>
      </c>
      <c r="H286" t="s">
        <v>729</v>
      </c>
      <c r="I286" t="s">
        <v>20</v>
      </c>
      <c r="J286">
        <v>168</v>
      </c>
    </row>
    <row r="287" spans="1:10" x14ac:dyDescent="0.35">
      <c r="A287">
        <v>30027</v>
      </c>
      <c r="B287" t="s">
        <v>730</v>
      </c>
      <c r="C287" t="s">
        <v>11</v>
      </c>
      <c r="D287" t="s">
        <v>731</v>
      </c>
      <c r="E287" t="s">
        <v>39</v>
      </c>
      <c r="F287">
        <v>220</v>
      </c>
      <c r="G287">
        <v>111</v>
      </c>
      <c r="H287" t="s">
        <v>732</v>
      </c>
      <c r="I287" t="s">
        <v>20</v>
      </c>
      <c r="J287">
        <v>220</v>
      </c>
    </row>
    <row r="288" spans="1:10" x14ac:dyDescent="0.35">
      <c r="A288">
        <v>5612292</v>
      </c>
      <c r="B288" t="s">
        <v>733</v>
      </c>
      <c r="C288" t="s">
        <v>11</v>
      </c>
      <c r="D288" t="s">
        <v>734</v>
      </c>
      <c r="E288" t="s">
        <v>108</v>
      </c>
      <c r="F288">
        <v>152</v>
      </c>
      <c r="G288">
        <v>76</v>
      </c>
      <c r="H288" t="s">
        <v>735</v>
      </c>
      <c r="I288" t="s">
        <v>15</v>
      </c>
      <c r="J288">
        <v>152</v>
      </c>
    </row>
    <row r="289" spans="1:10" x14ac:dyDescent="0.35">
      <c r="A289">
        <v>30027</v>
      </c>
      <c r="B289" t="s">
        <v>730</v>
      </c>
      <c r="C289" t="s">
        <v>25</v>
      </c>
      <c r="D289" t="s">
        <v>736</v>
      </c>
      <c r="E289" t="s">
        <v>39</v>
      </c>
      <c r="F289">
        <v>220</v>
      </c>
      <c r="G289">
        <v>111</v>
      </c>
      <c r="H289" t="s">
        <v>737</v>
      </c>
      <c r="I289" t="s">
        <v>20</v>
      </c>
      <c r="J289">
        <v>220</v>
      </c>
    </row>
    <row r="290" spans="1:10" x14ac:dyDescent="0.35">
      <c r="A290">
        <v>5612292</v>
      </c>
      <c r="B290" t="s">
        <v>733</v>
      </c>
      <c r="C290" t="s">
        <v>72</v>
      </c>
      <c r="D290" t="s">
        <v>738</v>
      </c>
      <c r="E290" t="s">
        <v>108</v>
      </c>
      <c r="F290">
        <v>152</v>
      </c>
      <c r="G290">
        <v>76</v>
      </c>
      <c r="H290" t="s">
        <v>735</v>
      </c>
      <c r="I290" t="s">
        <v>15</v>
      </c>
      <c r="J290">
        <v>152</v>
      </c>
    </row>
    <row r="291" spans="1:10" x14ac:dyDescent="0.35">
      <c r="A291">
        <v>29427</v>
      </c>
      <c r="B291" t="s">
        <v>739</v>
      </c>
      <c r="C291" t="s">
        <v>25</v>
      </c>
      <c r="D291" t="s">
        <v>740</v>
      </c>
      <c r="E291" t="s">
        <v>39</v>
      </c>
      <c r="F291">
        <v>216</v>
      </c>
      <c r="G291">
        <v>116</v>
      </c>
      <c r="H291" t="s">
        <v>741</v>
      </c>
      <c r="I291" t="s">
        <v>20</v>
      </c>
      <c r="J291">
        <v>216</v>
      </c>
    </row>
    <row r="292" spans="1:10" x14ac:dyDescent="0.35">
      <c r="A292">
        <v>5612292</v>
      </c>
      <c r="B292" t="s">
        <v>733</v>
      </c>
      <c r="C292" t="s">
        <v>25</v>
      </c>
      <c r="D292" t="s">
        <v>742</v>
      </c>
      <c r="E292" t="s">
        <v>108</v>
      </c>
      <c r="F292">
        <v>152</v>
      </c>
      <c r="G292">
        <v>76</v>
      </c>
      <c r="H292" t="s">
        <v>735</v>
      </c>
      <c r="I292" t="s">
        <v>15</v>
      </c>
      <c r="J292">
        <v>152</v>
      </c>
    </row>
    <row r="293" spans="1:10" x14ac:dyDescent="0.35">
      <c r="A293">
        <v>29427</v>
      </c>
      <c r="B293" t="s">
        <v>739</v>
      </c>
      <c r="C293" t="s">
        <v>11</v>
      </c>
      <c r="D293" t="s">
        <v>743</v>
      </c>
      <c r="E293" t="s">
        <v>39</v>
      </c>
      <c r="F293">
        <v>216</v>
      </c>
      <c r="G293">
        <v>116</v>
      </c>
      <c r="H293" t="s">
        <v>744</v>
      </c>
      <c r="I293" t="s">
        <v>20</v>
      </c>
      <c r="J293">
        <v>216</v>
      </c>
    </row>
    <row r="294" spans="1:10" x14ac:dyDescent="0.35">
      <c r="A294">
        <v>5612292</v>
      </c>
      <c r="B294" t="s">
        <v>733</v>
      </c>
      <c r="C294" t="s">
        <v>33</v>
      </c>
      <c r="D294" t="s">
        <v>745</v>
      </c>
      <c r="E294" t="s">
        <v>108</v>
      </c>
      <c r="F294">
        <v>152</v>
      </c>
      <c r="G294">
        <v>76</v>
      </c>
      <c r="H294" t="s">
        <v>735</v>
      </c>
      <c r="I294" t="s">
        <v>15</v>
      </c>
      <c r="J294">
        <v>152</v>
      </c>
    </row>
    <row r="295" spans="1:10" x14ac:dyDescent="0.35">
      <c r="A295">
        <v>30351</v>
      </c>
      <c r="B295" t="s">
        <v>746</v>
      </c>
      <c r="C295" t="s">
        <v>11</v>
      </c>
      <c r="D295" t="s">
        <v>747</v>
      </c>
      <c r="E295" t="s">
        <v>39</v>
      </c>
      <c r="F295">
        <v>216</v>
      </c>
      <c r="G295">
        <v>109</v>
      </c>
      <c r="H295" t="s">
        <v>748</v>
      </c>
      <c r="I295" t="s">
        <v>20</v>
      </c>
      <c r="J295">
        <v>216</v>
      </c>
    </row>
    <row r="296" spans="1:10" x14ac:dyDescent="0.35">
      <c r="A296">
        <v>30351</v>
      </c>
      <c r="B296" t="s">
        <v>746</v>
      </c>
      <c r="C296" t="s">
        <v>25</v>
      </c>
      <c r="D296" t="s">
        <v>749</v>
      </c>
      <c r="E296" t="s">
        <v>39</v>
      </c>
      <c r="F296">
        <v>216</v>
      </c>
      <c r="G296">
        <v>109</v>
      </c>
      <c r="H296" t="s">
        <v>750</v>
      </c>
      <c r="I296" t="s">
        <v>20</v>
      </c>
      <c r="J296">
        <v>216</v>
      </c>
    </row>
    <row r="297" spans="1:10" x14ac:dyDescent="0.35">
      <c r="A297">
        <v>828181</v>
      </c>
      <c r="B297" t="s">
        <v>751</v>
      </c>
      <c r="C297" t="s">
        <v>11</v>
      </c>
      <c r="D297" t="s">
        <v>752</v>
      </c>
      <c r="E297" t="s">
        <v>39</v>
      </c>
      <c r="F297">
        <v>246</v>
      </c>
      <c r="G297">
        <v>124</v>
      </c>
      <c r="H297" t="s">
        <v>753</v>
      </c>
      <c r="I297" t="s">
        <v>20</v>
      </c>
      <c r="J297">
        <v>246</v>
      </c>
    </row>
    <row r="298" spans="1:10" x14ac:dyDescent="0.35">
      <c r="A298">
        <v>29971</v>
      </c>
      <c r="B298" t="s">
        <v>754</v>
      </c>
      <c r="C298" t="s">
        <v>11</v>
      </c>
      <c r="D298" t="s">
        <v>755</v>
      </c>
      <c r="E298" t="s">
        <v>39</v>
      </c>
      <c r="F298">
        <v>244</v>
      </c>
      <c r="G298">
        <v>123</v>
      </c>
      <c r="H298" t="s">
        <v>756</v>
      </c>
      <c r="I298" t="s">
        <v>20</v>
      </c>
      <c r="J298">
        <v>244</v>
      </c>
    </row>
    <row r="299" spans="1:10" x14ac:dyDescent="0.35">
      <c r="A299">
        <v>29895</v>
      </c>
      <c r="B299" t="s">
        <v>757</v>
      </c>
      <c r="C299" t="s">
        <v>11</v>
      </c>
      <c r="D299" t="s">
        <v>758</v>
      </c>
      <c r="E299" t="s">
        <v>39</v>
      </c>
      <c r="F299">
        <v>211</v>
      </c>
      <c r="G299">
        <v>107</v>
      </c>
      <c r="H299" t="s">
        <v>759</v>
      </c>
      <c r="I299" t="s">
        <v>20</v>
      </c>
      <c r="J299">
        <v>211</v>
      </c>
    </row>
    <row r="300" spans="1:10" x14ac:dyDescent="0.35">
      <c r="A300">
        <v>29428</v>
      </c>
      <c r="B300" t="s">
        <v>760</v>
      </c>
      <c r="C300" t="s">
        <v>11</v>
      </c>
      <c r="D300" t="s">
        <v>761</v>
      </c>
      <c r="E300" t="s">
        <v>39</v>
      </c>
      <c r="F300">
        <v>220</v>
      </c>
      <c r="G300">
        <v>111</v>
      </c>
      <c r="H300" t="s">
        <v>762</v>
      </c>
      <c r="I300" t="s">
        <v>20</v>
      </c>
      <c r="J300">
        <v>220</v>
      </c>
    </row>
    <row r="301" spans="1:10" x14ac:dyDescent="0.35">
      <c r="A301">
        <v>6198163</v>
      </c>
      <c r="B301" t="s">
        <v>763</v>
      </c>
      <c r="C301" t="s">
        <v>11</v>
      </c>
      <c r="D301" t="s">
        <v>764</v>
      </c>
      <c r="E301" t="s">
        <v>70</v>
      </c>
      <c r="F301">
        <v>183</v>
      </c>
      <c r="G301">
        <v>107</v>
      </c>
      <c r="H301" t="s">
        <v>765</v>
      </c>
      <c r="I301" t="s">
        <v>15</v>
      </c>
      <c r="J301">
        <v>183</v>
      </c>
    </row>
    <row r="302" spans="1:10" x14ac:dyDescent="0.35">
      <c r="A302">
        <v>29428</v>
      </c>
      <c r="B302" t="s">
        <v>760</v>
      </c>
      <c r="C302" t="s">
        <v>25</v>
      </c>
      <c r="D302" t="s">
        <v>766</v>
      </c>
      <c r="E302" t="s">
        <v>39</v>
      </c>
      <c r="F302">
        <v>220</v>
      </c>
      <c r="G302">
        <v>111</v>
      </c>
      <c r="H302" t="s">
        <v>767</v>
      </c>
      <c r="I302" t="s">
        <v>20</v>
      </c>
      <c r="J302">
        <v>220</v>
      </c>
    </row>
    <row r="303" spans="1:10" x14ac:dyDescent="0.35">
      <c r="A303">
        <v>6198163</v>
      </c>
      <c r="B303" t="s">
        <v>763</v>
      </c>
      <c r="C303" t="s">
        <v>25</v>
      </c>
      <c r="D303" t="s">
        <v>768</v>
      </c>
      <c r="E303" t="s">
        <v>70</v>
      </c>
      <c r="F303">
        <v>183</v>
      </c>
      <c r="G303">
        <v>107</v>
      </c>
      <c r="H303" t="s">
        <v>765</v>
      </c>
      <c r="I303" t="s">
        <v>15</v>
      </c>
      <c r="J303">
        <v>183</v>
      </c>
    </row>
    <row r="304" spans="1:10" x14ac:dyDescent="0.35">
      <c r="A304">
        <v>29428</v>
      </c>
      <c r="B304" t="s">
        <v>760</v>
      </c>
      <c r="C304" t="s">
        <v>33</v>
      </c>
      <c r="D304" t="s">
        <v>769</v>
      </c>
      <c r="E304" t="s">
        <v>39</v>
      </c>
      <c r="F304">
        <v>220</v>
      </c>
      <c r="G304">
        <v>111</v>
      </c>
      <c r="H304" t="s">
        <v>770</v>
      </c>
      <c r="I304" t="s">
        <v>20</v>
      </c>
      <c r="J304">
        <v>220</v>
      </c>
    </row>
    <row r="305" spans="1:10" x14ac:dyDescent="0.35">
      <c r="A305">
        <v>30070</v>
      </c>
      <c r="B305" t="s">
        <v>771</v>
      </c>
      <c r="C305" t="s">
        <v>11</v>
      </c>
      <c r="D305" t="s">
        <v>772</v>
      </c>
      <c r="E305" t="s">
        <v>96</v>
      </c>
      <c r="F305">
        <v>167</v>
      </c>
      <c r="G305">
        <v>86</v>
      </c>
      <c r="H305" t="s">
        <v>773</v>
      </c>
      <c r="I305" t="s">
        <v>20</v>
      </c>
      <c r="J305">
        <v>167</v>
      </c>
    </row>
    <row r="306" spans="1:10" x14ac:dyDescent="0.35">
      <c r="A306">
        <v>1143964</v>
      </c>
      <c r="B306" t="s">
        <v>774</v>
      </c>
      <c r="C306" t="s">
        <v>11</v>
      </c>
      <c r="D306" t="s">
        <v>775</v>
      </c>
      <c r="E306" t="s">
        <v>39</v>
      </c>
      <c r="F306">
        <v>222</v>
      </c>
      <c r="G306">
        <v>112</v>
      </c>
      <c r="H306" t="s">
        <v>398</v>
      </c>
      <c r="I306" t="s">
        <v>20</v>
      </c>
      <c r="J306">
        <v>222</v>
      </c>
    </row>
    <row r="307" spans="1:10" x14ac:dyDescent="0.35">
      <c r="A307">
        <v>29897</v>
      </c>
      <c r="B307" t="s">
        <v>776</v>
      </c>
      <c r="C307" t="s">
        <v>25</v>
      </c>
      <c r="D307" t="s">
        <v>777</v>
      </c>
      <c r="E307" t="s">
        <v>30</v>
      </c>
      <c r="F307">
        <v>213</v>
      </c>
      <c r="G307">
        <v>114</v>
      </c>
      <c r="H307" t="s">
        <v>778</v>
      </c>
      <c r="I307" t="s">
        <v>20</v>
      </c>
      <c r="J307">
        <v>213</v>
      </c>
    </row>
    <row r="308" spans="1:10" x14ac:dyDescent="0.35">
      <c r="A308">
        <v>30661</v>
      </c>
      <c r="B308" t="s">
        <v>779</v>
      </c>
      <c r="C308" t="s">
        <v>11</v>
      </c>
      <c r="D308" t="s">
        <v>780</v>
      </c>
      <c r="E308" t="s">
        <v>39</v>
      </c>
      <c r="F308">
        <v>248</v>
      </c>
      <c r="G308">
        <v>124</v>
      </c>
      <c r="H308" t="s">
        <v>781</v>
      </c>
      <c r="I308" t="s">
        <v>20</v>
      </c>
      <c r="J308">
        <v>248</v>
      </c>
    </row>
    <row r="309" spans="1:10" x14ac:dyDescent="0.35">
      <c r="A309">
        <v>29897</v>
      </c>
      <c r="B309" t="s">
        <v>776</v>
      </c>
      <c r="C309" t="s">
        <v>11</v>
      </c>
      <c r="D309" t="s">
        <v>782</v>
      </c>
      <c r="E309" t="s">
        <v>30</v>
      </c>
      <c r="F309">
        <v>213</v>
      </c>
      <c r="G309">
        <v>114</v>
      </c>
      <c r="H309" t="s">
        <v>783</v>
      </c>
      <c r="I309" t="s">
        <v>20</v>
      </c>
      <c r="J309">
        <v>213</v>
      </c>
    </row>
    <row r="310" spans="1:10" x14ac:dyDescent="0.35">
      <c r="A310">
        <v>30026</v>
      </c>
      <c r="B310" t="s">
        <v>784</v>
      </c>
      <c r="C310" t="s">
        <v>11</v>
      </c>
      <c r="D310" t="s">
        <v>785</v>
      </c>
      <c r="E310" t="s">
        <v>196</v>
      </c>
      <c r="F310">
        <v>266</v>
      </c>
      <c r="G310">
        <v>134</v>
      </c>
      <c r="H310" t="s">
        <v>786</v>
      </c>
      <c r="I310" t="s">
        <v>20</v>
      </c>
      <c r="J310">
        <v>266</v>
      </c>
    </row>
    <row r="311" spans="1:10" x14ac:dyDescent="0.35">
      <c r="B311" t="s">
        <v>787</v>
      </c>
      <c r="C311" t="s">
        <v>11</v>
      </c>
      <c r="D311" t="s">
        <v>788</v>
      </c>
      <c r="E311" t="s">
        <v>13</v>
      </c>
      <c r="F311">
        <v>39</v>
      </c>
      <c r="G311">
        <v>18</v>
      </c>
      <c r="H311" t="s">
        <v>789</v>
      </c>
      <c r="I311" t="s">
        <v>15</v>
      </c>
      <c r="J311">
        <v>39</v>
      </c>
    </row>
    <row r="312" spans="1:10" x14ac:dyDescent="0.35">
      <c r="A312">
        <v>30053</v>
      </c>
      <c r="B312" t="s">
        <v>790</v>
      </c>
      <c r="C312" t="s">
        <v>11</v>
      </c>
      <c r="D312" t="s">
        <v>791</v>
      </c>
      <c r="E312" t="s">
        <v>39</v>
      </c>
      <c r="F312">
        <v>248</v>
      </c>
      <c r="G312">
        <v>131</v>
      </c>
      <c r="H312" t="s">
        <v>792</v>
      </c>
      <c r="I312" t="s">
        <v>20</v>
      </c>
      <c r="J312">
        <v>248</v>
      </c>
    </row>
    <row r="313" spans="1:10" x14ac:dyDescent="0.35">
      <c r="A313">
        <v>30062</v>
      </c>
      <c r="B313" t="s">
        <v>793</v>
      </c>
      <c r="C313" t="s">
        <v>25</v>
      </c>
      <c r="D313" t="s">
        <v>794</v>
      </c>
      <c r="E313" t="s">
        <v>288</v>
      </c>
      <c r="F313">
        <v>355</v>
      </c>
      <c r="G313">
        <v>178</v>
      </c>
      <c r="H313" t="s">
        <v>795</v>
      </c>
      <c r="I313" t="s">
        <v>20</v>
      </c>
      <c r="J313">
        <v>355</v>
      </c>
    </row>
    <row r="314" spans="1:10" x14ac:dyDescent="0.35">
      <c r="A314">
        <v>30053</v>
      </c>
      <c r="B314" t="s">
        <v>790</v>
      </c>
      <c r="C314" t="s">
        <v>25</v>
      </c>
      <c r="D314" t="s">
        <v>796</v>
      </c>
      <c r="E314" t="s">
        <v>39</v>
      </c>
      <c r="F314">
        <v>248</v>
      </c>
      <c r="G314">
        <v>131</v>
      </c>
      <c r="H314" t="s">
        <v>797</v>
      </c>
      <c r="I314" t="s">
        <v>20</v>
      </c>
      <c r="J314">
        <v>248</v>
      </c>
    </row>
    <row r="315" spans="1:10" x14ac:dyDescent="0.35">
      <c r="A315">
        <v>30062</v>
      </c>
      <c r="B315" t="s">
        <v>793</v>
      </c>
      <c r="C315" t="s">
        <v>11</v>
      </c>
      <c r="D315" t="s">
        <v>798</v>
      </c>
      <c r="E315" t="s">
        <v>288</v>
      </c>
      <c r="F315">
        <v>355</v>
      </c>
      <c r="G315">
        <v>178</v>
      </c>
      <c r="H315" t="s">
        <v>799</v>
      </c>
      <c r="I315" t="s">
        <v>20</v>
      </c>
      <c r="J315">
        <v>355</v>
      </c>
    </row>
    <row r="316" spans="1:10" x14ac:dyDescent="0.35">
      <c r="A316">
        <v>30053</v>
      </c>
      <c r="B316" t="s">
        <v>790</v>
      </c>
      <c r="C316" t="s">
        <v>33</v>
      </c>
      <c r="D316" t="s">
        <v>800</v>
      </c>
      <c r="E316" t="s">
        <v>39</v>
      </c>
      <c r="F316">
        <v>248</v>
      </c>
      <c r="G316">
        <v>131</v>
      </c>
      <c r="H316" t="s">
        <v>797</v>
      </c>
      <c r="I316" t="s">
        <v>20</v>
      </c>
      <c r="J316">
        <v>248</v>
      </c>
    </row>
    <row r="317" spans="1:10" x14ac:dyDescent="0.35">
      <c r="A317">
        <v>41542</v>
      </c>
      <c r="B317" t="s">
        <v>149</v>
      </c>
      <c r="C317" t="s">
        <v>281</v>
      </c>
      <c r="D317" t="s">
        <v>801</v>
      </c>
      <c r="E317" t="s">
        <v>39</v>
      </c>
      <c r="F317">
        <v>263</v>
      </c>
      <c r="G317">
        <v>133</v>
      </c>
      <c r="H317" t="s">
        <v>151</v>
      </c>
      <c r="I317" t="s">
        <v>20</v>
      </c>
      <c r="J317">
        <v>263</v>
      </c>
    </row>
    <row r="318" spans="1:10" x14ac:dyDescent="0.35">
      <c r="A318">
        <v>30040</v>
      </c>
      <c r="B318" t="s">
        <v>802</v>
      </c>
      <c r="C318" t="s">
        <v>11</v>
      </c>
      <c r="D318" t="s">
        <v>803</v>
      </c>
      <c r="E318" t="s">
        <v>469</v>
      </c>
      <c r="F318">
        <v>199</v>
      </c>
      <c r="G318">
        <v>100</v>
      </c>
      <c r="H318" t="s">
        <v>804</v>
      </c>
      <c r="I318" t="s">
        <v>20</v>
      </c>
      <c r="J318">
        <v>199</v>
      </c>
    </row>
    <row r="319" spans="1:10" x14ac:dyDescent="0.35">
      <c r="A319">
        <v>29437</v>
      </c>
      <c r="B319" t="s">
        <v>805</v>
      </c>
      <c r="C319" t="s">
        <v>33</v>
      </c>
      <c r="D319" t="s">
        <v>806</v>
      </c>
      <c r="E319" t="s">
        <v>247</v>
      </c>
      <c r="F319">
        <v>380</v>
      </c>
      <c r="G319">
        <v>190</v>
      </c>
      <c r="H319" t="s">
        <v>807</v>
      </c>
      <c r="I319" t="s">
        <v>20</v>
      </c>
      <c r="J319">
        <v>380</v>
      </c>
    </row>
    <row r="320" spans="1:10" x14ac:dyDescent="0.35">
      <c r="A320">
        <v>29437</v>
      </c>
      <c r="B320" t="s">
        <v>805</v>
      </c>
      <c r="C320" t="s">
        <v>25</v>
      </c>
      <c r="D320" t="s">
        <v>808</v>
      </c>
      <c r="E320" t="s">
        <v>247</v>
      </c>
      <c r="F320">
        <v>380</v>
      </c>
      <c r="G320">
        <v>190</v>
      </c>
      <c r="H320" t="s">
        <v>809</v>
      </c>
      <c r="I320" t="s">
        <v>20</v>
      </c>
      <c r="J320">
        <v>380</v>
      </c>
    </row>
    <row r="321" spans="1:10" x14ac:dyDescent="0.35">
      <c r="A321">
        <v>29437</v>
      </c>
      <c r="B321" t="s">
        <v>805</v>
      </c>
      <c r="C321" t="s">
        <v>72</v>
      </c>
      <c r="D321" t="s">
        <v>810</v>
      </c>
      <c r="E321" t="s">
        <v>247</v>
      </c>
      <c r="F321">
        <v>380</v>
      </c>
      <c r="G321">
        <v>190</v>
      </c>
      <c r="H321" t="s">
        <v>811</v>
      </c>
      <c r="I321" t="s">
        <v>20</v>
      </c>
      <c r="J321">
        <v>380</v>
      </c>
    </row>
    <row r="322" spans="1:10" x14ac:dyDescent="0.35">
      <c r="A322">
        <v>29437</v>
      </c>
      <c r="B322" t="s">
        <v>805</v>
      </c>
      <c r="C322" t="s">
        <v>11</v>
      </c>
      <c r="D322" t="s">
        <v>812</v>
      </c>
      <c r="E322" t="s">
        <v>247</v>
      </c>
      <c r="F322">
        <v>380</v>
      </c>
      <c r="G322">
        <v>190</v>
      </c>
      <c r="H322" t="s">
        <v>813</v>
      </c>
      <c r="I322" t="s">
        <v>20</v>
      </c>
      <c r="J322">
        <v>380</v>
      </c>
    </row>
    <row r="323" spans="1:10" x14ac:dyDescent="0.35">
      <c r="B323" t="s">
        <v>814</v>
      </c>
      <c r="C323" t="s">
        <v>25</v>
      </c>
      <c r="D323" t="s">
        <v>815</v>
      </c>
      <c r="E323" t="s">
        <v>108</v>
      </c>
      <c r="F323">
        <v>143</v>
      </c>
      <c r="G323">
        <v>72</v>
      </c>
      <c r="H323" t="s">
        <v>816</v>
      </c>
      <c r="I323" t="s">
        <v>15</v>
      </c>
      <c r="J323">
        <v>143</v>
      </c>
    </row>
    <row r="324" spans="1:10" x14ac:dyDescent="0.35">
      <c r="B324" t="s">
        <v>814</v>
      </c>
      <c r="C324" t="s">
        <v>11</v>
      </c>
      <c r="D324" t="s">
        <v>817</v>
      </c>
      <c r="E324" t="s">
        <v>108</v>
      </c>
      <c r="F324">
        <v>143</v>
      </c>
      <c r="G324">
        <v>72</v>
      </c>
      <c r="H324" t="s">
        <v>816</v>
      </c>
      <c r="I324" t="s">
        <v>15</v>
      </c>
      <c r="J324">
        <v>143</v>
      </c>
    </row>
    <row r="325" spans="1:10" x14ac:dyDescent="0.35">
      <c r="A325">
        <v>52123</v>
      </c>
      <c r="B325" t="s">
        <v>818</v>
      </c>
      <c r="C325" t="s">
        <v>25</v>
      </c>
      <c r="D325" t="s">
        <v>819</v>
      </c>
      <c r="E325" t="s">
        <v>30</v>
      </c>
      <c r="F325">
        <v>192</v>
      </c>
      <c r="G325">
        <v>96</v>
      </c>
      <c r="H325" t="s">
        <v>820</v>
      </c>
      <c r="I325" t="s">
        <v>20</v>
      </c>
      <c r="J325">
        <v>192</v>
      </c>
    </row>
    <row r="326" spans="1:10" x14ac:dyDescent="0.35">
      <c r="A326">
        <v>52123</v>
      </c>
      <c r="B326" t="s">
        <v>818</v>
      </c>
      <c r="C326" t="s">
        <v>11</v>
      </c>
      <c r="D326" t="s">
        <v>821</v>
      </c>
      <c r="E326" t="s">
        <v>30</v>
      </c>
      <c r="F326">
        <v>192</v>
      </c>
      <c r="G326">
        <v>96</v>
      </c>
      <c r="H326" t="s">
        <v>820</v>
      </c>
      <c r="I326" t="s">
        <v>20</v>
      </c>
      <c r="J326">
        <v>192</v>
      </c>
    </row>
    <row r="327" spans="1:10" x14ac:dyDescent="0.35">
      <c r="A327">
        <v>5829801</v>
      </c>
      <c r="B327" t="s">
        <v>822</v>
      </c>
      <c r="C327" t="s">
        <v>11</v>
      </c>
      <c r="D327" t="s">
        <v>823</v>
      </c>
      <c r="E327" t="s">
        <v>108</v>
      </c>
      <c r="F327">
        <v>117</v>
      </c>
      <c r="G327">
        <v>58</v>
      </c>
      <c r="H327" t="s">
        <v>824</v>
      </c>
      <c r="I327" t="s">
        <v>15</v>
      </c>
      <c r="J327">
        <v>117</v>
      </c>
    </row>
    <row r="328" spans="1:10" x14ac:dyDescent="0.35">
      <c r="A328">
        <v>5829801</v>
      </c>
      <c r="B328" t="s">
        <v>822</v>
      </c>
      <c r="C328" t="s">
        <v>33</v>
      </c>
      <c r="D328" t="s">
        <v>825</v>
      </c>
      <c r="E328" t="s">
        <v>108</v>
      </c>
      <c r="F328">
        <v>117</v>
      </c>
      <c r="G328">
        <v>58</v>
      </c>
      <c r="H328" t="s">
        <v>824</v>
      </c>
      <c r="I328" t="s">
        <v>15</v>
      </c>
      <c r="J328">
        <v>117</v>
      </c>
    </row>
    <row r="329" spans="1:10" x14ac:dyDescent="0.35">
      <c r="A329">
        <v>5829801</v>
      </c>
      <c r="B329" t="s">
        <v>822</v>
      </c>
      <c r="C329" t="s">
        <v>25</v>
      </c>
      <c r="D329" t="s">
        <v>826</v>
      </c>
      <c r="E329" t="s">
        <v>108</v>
      </c>
      <c r="F329">
        <v>117</v>
      </c>
      <c r="G329">
        <v>58</v>
      </c>
      <c r="H329" t="s">
        <v>824</v>
      </c>
      <c r="I329" t="s">
        <v>15</v>
      </c>
      <c r="J329">
        <v>117</v>
      </c>
    </row>
    <row r="330" spans="1:10" x14ac:dyDescent="0.35">
      <c r="A330">
        <v>29955</v>
      </c>
      <c r="B330" t="s">
        <v>827</v>
      </c>
      <c r="C330" t="s">
        <v>11</v>
      </c>
      <c r="D330" t="s">
        <v>828</v>
      </c>
      <c r="E330" t="s">
        <v>196</v>
      </c>
      <c r="F330">
        <v>276</v>
      </c>
      <c r="G330">
        <v>137</v>
      </c>
      <c r="H330" t="s">
        <v>829</v>
      </c>
      <c r="I330" t="s">
        <v>20</v>
      </c>
      <c r="J330">
        <v>276</v>
      </c>
    </row>
    <row r="331" spans="1:10" x14ac:dyDescent="0.35">
      <c r="A331">
        <v>1122509</v>
      </c>
      <c r="B331" t="s">
        <v>830</v>
      </c>
      <c r="C331" t="s">
        <v>11</v>
      </c>
      <c r="D331" t="s">
        <v>831</v>
      </c>
      <c r="E331" t="s">
        <v>39</v>
      </c>
      <c r="F331">
        <v>242</v>
      </c>
      <c r="G331">
        <v>122</v>
      </c>
      <c r="H331" t="s">
        <v>832</v>
      </c>
      <c r="I331" t="s">
        <v>20</v>
      </c>
      <c r="J331">
        <v>242</v>
      </c>
    </row>
    <row r="332" spans="1:10" x14ac:dyDescent="0.35">
      <c r="A332">
        <v>1122509</v>
      </c>
      <c r="B332" t="s">
        <v>830</v>
      </c>
      <c r="C332" t="s">
        <v>25</v>
      </c>
      <c r="D332" t="s">
        <v>833</v>
      </c>
      <c r="E332" t="s">
        <v>39</v>
      </c>
      <c r="F332">
        <v>242</v>
      </c>
      <c r="G332">
        <v>122</v>
      </c>
      <c r="H332" t="s">
        <v>834</v>
      </c>
      <c r="I332" t="s">
        <v>20</v>
      </c>
      <c r="J332">
        <v>242</v>
      </c>
    </row>
    <row r="333" spans="1:10" x14ac:dyDescent="0.35">
      <c r="B333" t="s">
        <v>835</v>
      </c>
      <c r="C333" t="s">
        <v>11</v>
      </c>
      <c r="D333" t="s">
        <v>836</v>
      </c>
      <c r="E333" t="s">
        <v>108</v>
      </c>
      <c r="F333">
        <v>129</v>
      </c>
      <c r="G333">
        <v>65</v>
      </c>
      <c r="H333" t="s">
        <v>837</v>
      </c>
      <c r="I333" t="s">
        <v>15</v>
      </c>
      <c r="J333">
        <v>129</v>
      </c>
    </row>
    <row r="334" spans="1:10" x14ac:dyDescent="0.35">
      <c r="B334" t="s">
        <v>835</v>
      </c>
      <c r="C334" t="s">
        <v>25</v>
      </c>
      <c r="D334" t="s">
        <v>838</v>
      </c>
      <c r="E334" t="s">
        <v>108</v>
      </c>
      <c r="F334">
        <v>129</v>
      </c>
      <c r="G334">
        <v>65</v>
      </c>
      <c r="H334" t="s">
        <v>837</v>
      </c>
      <c r="I334" t="s">
        <v>15</v>
      </c>
      <c r="J334">
        <v>129</v>
      </c>
    </row>
    <row r="335" spans="1:10" x14ac:dyDescent="0.35">
      <c r="A335">
        <v>30346</v>
      </c>
      <c r="B335" t="s">
        <v>839</v>
      </c>
      <c r="C335" t="s">
        <v>11</v>
      </c>
      <c r="D335" t="s">
        <v>840</v>
      </c>
      <c r="E335" t="s">
        <v>39</v>
      </c>
      <c r="F335">
        <v>210</v>
      </c>
      <c r="G335">
        <v>106</v>
      </c>
      <c r="H335" t="s">
        <v>841</v>
      </c>
      <c r="I335" t="s">
        <v>20</v>
      </c>
      <c r="J335">
        <v>210</v>
      </c>
    </row>
    <row r="336" spans="1:10" x14ac:dyDescent="0.35">
      <c r="A336">
        <v>30346</v>
      </c>
      <c r="B336" t="s">
        <v>839</v>
      </c>
      <c r="C336" t="s">
        <v>25</v>
      </c>
      <c r="D336" t="s">
        <v>842</v>
      </c>
      <c r="E336" t="s">
        <v>39</v>
      </c>
      <c r="F336">
        <v>210</v>
      </c>
      <c r="G336">
        <v>106</v>
      </c>
      <c r="H336" t="s">
        <v>843</v>
      </c>
      <c r="I336" t="s">
        <v>20</v>
      </c>
      <c r="J336">
        <v>210</v>
      </c>
    </row>
    <row r="337" spans="1:10" x14ac:dyDescent="0.35">
      <c r="A337">
        <v>4346017</v>
      </c>
      <c r="B337" t="s">
        <v>844</v>
      </c>
      <c r="C337" t="s">
        <v>33</v>
      </c>
      <c r="D337" t="s">
        <v>845</v>
      </c>
      <c r="E337" t="s">
        <v>108</v>
      </c>
      <c r="F337">
        <v>110</v>
      </c>
      <c r="G337">
        <v>64</v>
      </c>
      <c r="H337" t="s">
        <v>846</v>
      </c>
      <c r="I337" t="s">
        <v>15</v>
      </c>
      <c r="J337">
        <v>110</v>
      </c>
    </row>
    <row r="338" spans="1:10" x14ac:dyDescent="0.35">
      <c r="A338">
        <v>4346017</v>
      </c>
      <c r="B338" t="s">
        <v>844</v>
      </c>
      <c r="C338" t="s">
        <v>25</v>
      </c>
      <c r="D338" t="s">
        <v>847</v>
      </c>
      <c r="E338" t="s">
        <v>108</v>
      </c>
      <c r="F338">
        <v>110</v>
      </c>
      <c r="G338">
        <v>64</v>
      </c>
      <c r="H338" t="s">
        <v>846</v>
      </c>
      <c r="I338" t="s">
        <v>15</v>
      </c>
      <c r="J338">
        <v>110</v>
      </c>
    </row>
    <row r="339" spans="1:10" x14ac:dyDescent="0.35">
      <c r="A339">
        <v>4346017</v>
      </c>
      <c r="B339" t="s">
        <v>844</v>
      </c>
      <c r="C339" t="s">
        <v>11</v>
      </c>
      <c r="D339" t="s">
        <v>848</v>
      </c>
      <c r="E339" t="s">
        <v>108</v>
      </c>
      <c r="F339">
        <v>110</v>
      </c>
      <c r="G339">
        <v>64</v>
      </c>
      <c r="H339" t="s">
        <v>846</v>
      </c>
      <c r="I339" t="s">
        <v>15</v>
      </c>
      <c r="J339">
        <v>110</v>
      </c>
    </row>
    <row r="340" spans="1:10" x14ac:dyDescent="0.35">
      <c r="A340">
        <v>6410146</v>
      </c>
      <c r="B340" t="s">
        <v>849</v>
      </c>
      <c r="C340" t="s">
        <v>25</v>
      </c>
      <c r="D340" t="s">
        <v>850</v>
      </c>
      <c r="E340" t="s">
        <v>108</v>
      </c>
      <c r="F340">
        <v>144</v>
      </c>
      <c r="G340">
        <v>72</v>
      </c>
      <c r="H340" t="s">
        <v>851</v>
      </c>
      <c r="I340" t="s">
        <v>15</v>
      </c>
      <c r="J340">
        <v>144</v>
      </c>
    </row>
    <row r="341" spans="1:10" x14ac:dyDescent="0.35">
      <c r="A341">
        <v>6410146</v>
      </c>
      <c r="B341" t="s">
        <v>849</v>
      </c>
      <c r="C341" t="s">
        <v>11</v>
      </c>
      <c r="D341" t="s">
        <v>852</v>
      </c>
      <c r="E341" t="s">
        <v>108</v>
      </c>
      <c r="F341">
        <v>144</v>
      </c>
      <c r="G341">
        <v>72</v>
      </c>
      <c r="H341" t="s">
        <v>851</v>
      </c>
      <c r="I341" t="s">
        <v>15</v>
      </c>
      <c r="J341">
        <v>144</v>
      </c>
    </row>
    <row r="342" spans="1:10" x14ac:dyDescent="0.35">
      <c r="B342" t="s">
        <v>853</v>
      </c>
      <c r="C342" t="s">
        <v>11</v>
      </c>
      <c r="D342" t="s">
        <v>854</v>
      </c>
      <c r="E342" t="s">
        <v>59</v>
      </c>
      <c r="F342">
        <v>243</v>
      </c>
      <c r="G342">
        <v>124</v>
      </c>
      <c r="H342" t="s">
        <v>855</v>
      </c>
      <c r="I342" t="s">
        <v>20</v>
      </c>
      <c r="J342">
        <v>243</v>
      </c>
    </row>
    <row r="343" spans="1:10" x14ac:dyDescent="0.35">
      <c r="B343" t="s">
        <v>856</v>
      </c>
      <c r="C343" t="s">
        <v>11</v>
      </c>
      <c r="D343" t="s">
        <v>857</v>
      </c>
      <c r="E343" t="s">
        <v>108</v>
      </c>
      <c r="F343">
        <v>137</v>
      </c>
      <c r="G343">
        <v>69</v>
      </c>
      <c r="H343" t="s">
        <v>858</v>
      </c>
      <c r="I343" t="s">
        <v>15</v>
      </c>
    </row>
    <row r="344" spans="1:10" x14ac:dyDescent="0.35">
      <c r="A344">
        <v>5731941</v>
      </c>
      <c r="B344" t="s">
        <v>859</v>
      </c>
      <c r="C344" t="s">
        <v>25</v>
      </c>
      <c r="D344" t="s">
        <v>860</v>
      </c>
      <c r="E344" t="s">
        <v>13</v>
      </c>
      <c r="F344">
        <v>62</v>
      </c>
      <c r="G344">
        <v>38</v>
      </c>
      <c r="H344" t="s">
        <v>861</v>
      </c>
      <c r="I344" t="s">
        <v>15</v>
      </c>
      <c r="J344">
        <v>62</v>
      </c>
    </row>
    <row r="345" spans="1:10" x14ac:dyDescent="0.35">
      <c r="A345">
        <v>5731941</v>
      </c>
      <c r="B345" t="s">
        <v>859</v>
      </c>
      <c r="C345" t="s">
        <v>253</v>
      </c>
      <c r="D345" t="s">
        <v>862</v>
      </c>
      <c r="E345" t="s">
        <v>13</v>
      </c>
      <c r="F345">
        <v>62</v>
      </c>
      <c r="G345">
        <v>38</v>
      </c>
      <c r="H345" t="s">
        <v>861</v>
      </c>
      <c r="I345" t="s">
        <v>15</v>
      </c>
      <c r="J345">
        <v>62</v>
      </c>
    </row>
    <row r="346" spans="1:10" x14ac:dyDescent="0.35">
      <c r="A346">
        <v>30061</v>
      </c>
      <c r="B346" t="s">
        <v>863</v>
      </c>
      <c r="C346" t="s">
        <v>11</v>
      </c>
      <c r="D346" t="s">
        <v>864</v>
      </c>
      <c r="E346" t="s">
        <v>30</v>
      </c>
      <c r="F346">
        <v>223</v>
      </c>
      <c r="G346">
        <v>119</v>
      </c>
      <c r="H346" t="s">
        <v>865</v>
      </c>
      <c r="I346" t="s">
        <v>20</v>
      </c>
      <c r="J346">
        <v>223</v>
      </c>
    </row>
    <row r="347" spans="1:10" x14ac:dyDescent="0.35">
      <c r="A347">
        <v>5731941</v>
      </c>
      <c r="B347" t="s">
        <v>859</v>
      </c>
      <c r="C347" t="s">
        <v>214</v>
      </c>
      <c r="D347" t="s">
        <v>866</v>
      </c>
      <c r="E347" t="s">
        <v>13</v>
      </c>
      <c r="F347">
        <v>62</v>
      </c>
      <c r="G347">
        <v>38</v>
      </c>
      <c r="H347" t="s">
        <v>861</v>
      </c>
      <c r="I347" t="s">
        <v>15</v>
      </c>
      <c r="J347">
        <v>62</v>
      </c>
    </row>
    <row r="348" spans="1:10" x14ac:dyDescent="0.35">
      <c r="A348">
        <v>30666</v>
      </c>
      <c r="B348" t="s">
        <v>867</v>
      </c>
      <c r="C348" t="s">
        <v>11</v>
      </c>
      <c r="D348" t="s">
        <v>868</v>
      </c>
      <c r="E348" t="s">
        <v>39</v>
      </c>
      <c r="F348">
        <v>263</v>
      </c>
      <c r="G348">
        <v>133</v>
      </c>
      <c r="H348" t="s">
        <v>869</v>
      </c>
      <c r="I348" t="s">
        <v>20</v>
      </c>
      <c r="J348">
        <v>263</v>
      </c>
    </row>
    <row r="349" spans="1:10" x14ac:dyDescent="0.35">
      <c r="A349">
        <v>5731941</v>
      </c>
      <c r="B349" t="s">
        <v>859</v>
      </c>
      <c r="C349" t="s">
        <v>65</v>
      </c>
      <c r="D349" t="s">
        <v>870</v>
      </c>
      <c r="E349" t="s">
        <v>13</v>
      </c>
      <c r="F349">
        <v>62</v>
      </c>
      <c r="G349">
        <v>38</v>
      </c>
      <c r="H349" t="s">
        <v>861</v>
      </c>
      <c r="I349" t="s">
        <v>15</v>
      </c>
      <c r="J349">
        <v>62</v>
      </c>
    </row>
    <row r="350" spans="1:10" x14ac:dyDescent="0.35">
      <c r="A350">
        <v>30666</v>
      </c>
      <c r="B350" t="s">
        <v>867</v>
      </c>
      <c r="C350" t="s">
        <v>25</v>
      </c>
      <c r="D350" t="s">
        <v>871</v>
      </c>
      <c r="E350" t="s">
        <v>39</v>
      </c>
      <c r="F350">
        <v>263</v>
      </c>
      <c r="G350">
        <v>133</v>
      </c>
      <c r="H350" t="s">
        <v>872</v>
      </c>
      <c r="I350" t="s">
        <v>20</v>
      </c>
      <c r="J350">
        <v>263</v>
      </c>
    </row>
    <row r="351" spans="1:10" x14ac:dyDescent="0.35">
      <c r="A351">
        <v>5731941</v>
      </c>
      <c r="B351" t="s">
        <v>859</v>
      </c>
      <c r="C351" t="s">
        <v>72</v>
      </c>
      <c r="D351" t="s">
        <v>873</v>
      </c>
      <c r="E351" t="s">
        <v>13</v>
      </c>
      <c r="F351">
        <v>62</v>
      </c>
      <c r="G351">
        <v>38</v>
      </c>
      <c r="H351" t="s">
        <v>861</v>
      </c>
      <c r="I351" t="s">
        <v>15</v>
      </c>
      <c r="J351">
        <v>62</v>
      </c>
    </row>
    <row r="352" spans="1:10" x14ac:dyDescent="0.35">
      <c r="A352">
        <v>58421</v>
      </c>
      <c r="B352" t="s">
        <v>874</v>
      </c>
      <c r="C352" t="s">
        <v>11</v>
      </c>
      <c r="D352" t="s">
        <v>875</v>
      </c>
      <c r="E352" t="s">
        <v>18</v>
      </c>
      <c r="F352">
        <v>333</v>
      </c>
      <c r="G352">
        <v>169</v>
      </c>
      <c r="H352" t="s">
        <v>125</v>
      </c>
      <c r="I352" t="s">
        <v>20</v>
      </c>
      <c r="J352">
        <v>333</v>
      </c>
    </row>
    <row r="353" spans="1:10" x14ac:dyDescent="0.35">
      <c r="A353">
        <v>5731941</v>
      </c>
      <c r="B353" t="s">
        <v>859</v>
      </c>
      <c r="C353" t="s">
        <v>11</v>
      </c>
      <c r="D353" t="s">
        <v>876</v>
      </c>
      <c r="E353" t="s">
        <v>13</v>
      </c>
      <c r="F353">
        <v>62</v>
      </c>
      <c r="G353">
        <v>38</v>
      </c>
      <c r="H353" t="s">
        <v>861</v>
      </c>
      <c r="I353" t="s">
        <v>15</v>
      </c>
      <c r="J353">
        <v>62</v>
      </c>
    </row>
    <row r="354" spans="1:10" x14ac:dyDescent="0.35">
      <c r="A354">
        <v>44341</v>
      </c>
      <c r="B354" t="s">
        <v>877</v>
      </c>
      <c r="C354" t="s">
        <v>11</v>
      </c>
      <c r="D354" t="s">
        <v>878</v>
      </c>
      <c r="E354" t="s">
        <v>96</v>
      </c>
      <c r="F354">
        <v>139</v>
      </c>
      <c r="G354">
        <v>80</v>
      </c>
      <c r="H354" t="s">
        <v>879</v>
      </c>
      <c r="I354" t="s">
        <v>20</v>
      </c>
      <c r="J354">
        <v>139</v>
      </c>
    </row>
    <row r="355" spans="1:10" x14ac:dyDescent="0.35">
      <c r="A355">
        <v>5731941</v>
      </c>
      <c r="B355" t="s">
        <v>859</v>
      </c>
      <c r="C355" t="s">
        <v>33</v>
      </c>
      <c r="D355" t="s">
        <v>880</v>
      </c>
      <c r="E355" t="s">
        <v>13</v>
      </c>
      <c r="F355">
        <v>62</v>
      </c>
      <c r="G355">
        <v>38</v>
      </c>
      <c r="H355" t="s">
        <v>861</v>
      </c>
      <c r="I355" t="s">
        <v>15</v>
      </c>
      <c r="J355">
        <v>62</v>
      </c>
    </row>
    <row r="356" spans="1:10" x14ac:dyDescent="0.35">
      <c r="A356">
        <v>44341</v>
      </c>
      <c r="B356" t="s">
        <v>877</v>
      </c>
      <c r="C356" t="s">
        <v>25</v>
      </c>
      <c r="D356" t="s">
        <v>881</v>
      </c>
      <c r="E356" t="s">
        <v>96</v>
      </c>
      <c r="F356">
        <v>139</v>
      </c>
      <c r="G356">
        <v>80</v>
      </c>
      <c r="H356" t="s">
        <v>882</v>
      </c>
      <c r="I356" t="s">
        <v>20</v>
      </c>
      <c r="J356">
        <v>139</v>
      </c>
    </row>
    <row r="357" spans="1:10" x14ac:dyDescent="0.35">
      <c r="A357">
        <v>30059</v>
      </c>
      <c r="B357" t="s">
        <v>883</v>
      </c>
      <c r="C357" t="s">
        <v>11</v>
      </c>
      <c r="D357" t="s">
        <v>884</v>
      </c>
      <c r="E357" t="s">
        <v>288</v>
      </c>
      <c r="F357">
        <v>355</v>
      </c>
      <c r="G357">
        <v>178</v>
      </c>
      <c r="H357" t="s">
        <v>885</v>
      </c>
      <c r="I357" t="s">
        <v>20</v>
      </c>
      <c r="J357">
        <v>355</v>
      </c>
    </row>
    <row r="358" spans="1:10" x14ac:dyDescent="0.35">
      <c r="A358">
        <v>30059</v>
      </c>
      <c r="B358" t="s">
        <v>883</v>
      </c>
      <c r="C358" t="s">
        <v>25</v>
      </c>
      <c r="D358" t="s">
        <v>886</v>
      </c>
      <c r="E358" t="s">
        <v>288</v>
      </c>
      <c r="F358">
        <v>355</v>
      </c>
      <c r="G358">
        <v>178</v>
      </c>
      <c r="H358" t="s">
        <v>887</v>
      </c>
      <c r="I358" t="s">
        <v>20</v>
      </c>
      <c r="J358">
        <v>355</v>
      </c>
    </row>
    <row r="359" spans="1:10" x14ac:dyDescent="0.35">
      <c r="A359">
        <v>51881</v>
      </c>
      <c r="B359" t="s">
        <v>888</v>
      </c>
      <c r="C359" t="s">
        <v>25</v>
      </c>
      <c r="D359" t="s">
        <v>889</v>
      </c>
      <c r="E359" t="s">
        <v>39</v>
      </c>
      <c r="F359">
        <v>252</v>
      </c>
      <c r="G359">
        <v>125</v>
      </c>
      <c r="H359" t="s">
        <v>890</v>
      </c>
      <c r="I359" t="s">
        <v>20</v>
      </c>
      <c r="J359">
        <v>252</v>
      </c>
    </row>
    <row r="360" spans="1:10" x14ac:dyDescent="0.35">
      <c r="A360">
        <v>30079</v>
      </c>
      <c r="B360" t="s">
        <v>891</v>
      </c>
      <c r="C360" t="s">
        <v>11</v>
      </c>
      <c r="D360" t="s">
        <v>892</v>
      </c>
      <c r="E360" t="s">
        <v>39</v>
      </c>
      <c r="F360">
        <v>234</v>
      </c>
      <c r="G360">
        <v>118</v>
      </c>
      <c r="H360" t="s">
        <v>893</v>
      </c>
      <c r="I360" t="s">
        <v>20</v>
      </c>
      <c r="J360">
        <v>234</v>
      </c>
    </row>
    <row r="361" spans="1:10" x14ac:dyDescent="0.35">
      <c r="A361">
        <v>51881</v>
      </c>
      <c r="B361" t="s">
        <v>888</v>
      </c>
      <c r="C361" t="s">
        <v>11</v>
      </c>
      <c r="D361" t="s">
        <v>894</v>
      </c>
      <c r="E361" t="s">
        <v>39</v>
      </c>
      <c r="F361">
        <v>252</v>
      </c>
      <c r="G361">
        <v>125</v>
      </c>
      <c r="H361" t="s">
        <v>890</v>
      </c>
      <c r="I361" t="s">
        <v>20</v>
      </c>
      <c r="J361">
        <v>252</v>
      </c>
    </row>
    <row r="362" spans="1:10" x14ac:dyDescent="0.35">
      <c r="A362">
        <v>65166</v>
      </c>
      <c r="B362" t="s">
        <v>895</v>
      </c>
      <c r="C362" t="s">
        <v>11</v>
      </c>
      <c r="D362" t="s">
        <v>896</v>
      </c>
      <c r="E362" t="s">
        <v>39</v>
      </c>
      <c r="F362">
        <v>263</v>
      </c>
      <c r="G362">
        <v>134</v>
      </c>
      <c r="H362" t="s">
        <v>151</v>
      </c>
      <c r="I362" t="s">
        <v>20</v>
      </c>
      <c r="J362">
        <v>263</v>
      </c>
    </row>
    <row r="363" spans="1:10" x14ac:dyDescent="0.35">
      <c r="A363">
        <v>30080</v>
      </c>
      <c r="B363" t="s">
        <v>897</v>
      </c>
      <c r="C363" t="s">
        <v>11</v>
      </c>
      <c r="D363" t="s">
        <v>898</v>
      </c>
      <c r="E363" t="s">
        <v>39</v>
      </c>
      <c r="F363">
        <v>230</v>
      </c>
      <c r="G363">
        <v>116</v>
      </c>
      <c r="H363" t="s">
        <v>899</v>
      </c>
      <c r="I363" t="s">
        <v>20</v>
      </c>
      <c r="J363">
        <v>230</v>
      </c>
    </row>
    <row r="364" spans="1:10" x14ac:dyDescent="0.35">
      <c r="A364">
        <v>29964</v>
      </c>
      <c r="B364" t="s">
        <v>900</v>
      </c>
      <c r="C364" t="s">
        <v>25</v>
      </c>
      <c r="D364" t="s">
        <v>901</v>
      </c>
      <c r="E364" t="s">
        <v>30</v>
      </c>
      <c r="F364">
        <v>209</v>
      </c>
      <c r="G364">
        <v>112</v>
      </c>
      <c r="H364" t="s">
        <v>902</v>
      </c>
      <c r="I364" t="s">
        <v>20</v>
      </c>
      <c r="J364">
        <v>209</v>
      </c>
    </row>
    <row r="365" spans="1:10" x14ac:dyDescent="0.35">
      <c r="A365">
        <v>29956</v>
      </c>
      <c r="B365" t="s">
        <v>903</v>
      </c>
      <c r="C365" t="s">
        <v>11</v>
      </c>
      <c r="D365" t="s">
        <v>904</v>
      </c>
      <c r="E365" t="s">
        <v>288</v>
      </c>
      <c r="F365">
        <v>366</v>
      </c>
      <c r="G365">
        <v>183</v>
      </c>
      <c r="H365" t="s">
        <v>905</v>
      </c>
      <c r="I365" t="s">
        <v>20</v>
      </c>
      <c r="J365">
        <v>366</v>
      </c>
    </row>
    <row r="366" spans="1:10" x14ac:dyDescent="0.35">
      <c r="A366">
        <v>29964</v>
      </c>
      <c r="B366" t="s">
        <v>900</v>
      </c>
      <c r="C366" t="s">
        <v>11</v>
      </c>
      <c r="D366" t="s">
        <v>906</v>
      </c>
      <c r="E366" t="s">
        <v>30</v>
      </c>
      <c r="F366">
        <v>209</v>
      </c>
      <c r="G366">
        <v>112</v>
      </c>
      <c r="H366" t="s">
        <v>907</v>
      </c>
      <c r="I366" t="s">
        <v>20</v>
      </c>
      <c r="J366">
        <v>209</v>
      </c>
    </row>
    <row r="367" spans="1:10" x14ac:dyDescent="0.35">
      <c r="A367">
        <v>29956</v>
      </c>
      <c r="B367" t="s">
        <v>903</v>
      </c>
      <c r="C367" t="s">
        <v>25</v>
      </c>
      <c r="D367" t="s">
        <v>908</v>
      </c>
      <c r="E367" t="s">
        <v>288</v>
      </c>
      <c r="F367">
        <v>366</v>
      </c>
      <c r="G367">
        <v>183</v>
      </c>
      <c r="H367" t="s">
        <v>909</v>
      </c>
      <c r="I367" t="s">
        <v>20</v>
      </c>
      <c r="J367">
        <v>366</v>
      </c>
    </row>
    <row r="368" spans="1:10" x14ac:dyDescent="0.35">
      <c r="A368">
        <v>29966</v>
      </c>
      <c r="B368" t="s">
        <v>910</v>
      </c>
      <c r="C368" t="s">
        <v>11</v>
      </c>
      <c r="D368" t="s">
        <v>911</v>
      </c>
      <c r="E368" t="s">
        <v>196</v>
      </c>
      <c r="F368">
        <v>267</v>
      </c>
      <c r="G368">
        <v>135</v>
      </c>
      <c r="H368" t="s">
        <v>912</v>
      </c>
      <c r="I368" t="s">
        <v>20</v>
      </c>
      <c r="J368">
        <v>267</v>
      </c>
    </row>
    <row r="369" spans="1:10" x14ac:dyDescent="0.35">
      <c r="A369">
        <v>6410332</v>
      </c>
      <c r="B369" t="s">
        <v>913</v>
      </c>
      <c r="C369" t="s">
        <v>33</v>
      </c>
      <c r="D369" t="s">
        <v>914</v>
      </c>
      <c r="E369" t="s">
        <v>915</v>
      </c>
      <c r="F369">
        <v>108</v>
      </c>
      <c r="G369">
        <v>53</v>
      </c>
      <c r="H369" t="s">
        <v>916</v>
      </c>
      <c r="I369" t="s">
        <v>15</v>
      </c>
      <c r="J369">
        <v>108</v>
      </c>
    </row>
    <row r="370" spans="1:10" x14ac:dyDescent="0.35">
      <c r="A370">
        <v>30032</v>
      </c>
      <c r="B370" t="s">
        <v>917</v>
      </c>
      <c r="C370" t="s">
        <v>25</v>
      </c>
      <c r="D370" t="s">
        <v>918</v>
      </c>
      <c r="E370" t="s">
        <v>30</v>
      </c>
      <c r="F370">
        <v>227</v>
      </c>
      <c r="G370">
        <v>120</v>
      </c>
      <c r="H370" t="s">
        <v>919</v>
      </c>
      <c r="I370" t="s">
        <v>20</v>
      </c>
      <c r="J370">
        <v>227</v>
      </c>
    </row>
    <row r="371" spans="1:10" x14ac:dyDescent="0.35">
      <c r="A371">
        <v>6410332</v>
      </c>
      <c r="B371" t="s">
        <v>913</v>
      </c>
      <c r="C371" t="s">
        <v>25</v>
      </c>
      <c r="D371" t="s">
        <v>920</v>
      </c>
      <c r="E371" t="s">
        <v>915</v>
      </c>
      <c r="F371">
        <v>108</v>
      </c>
      <c r="G371">
        <v>53</v>
      </c>
      <c r="H371" t="s">
        <v>916</v>
      </c>
      <c r="I371" t="s">
        <v>15</v>
      </c>
      <c r="J371">
        <v>108</v>
      </c>
    </row>
    <row r="372" spans="1:10" x14ac:dyDescent="0.35">
      <c r="A372">
        <v>30032</v>
      </c>
      <c r="B372" t="s">
        <v>917</v>
      </c>
      <c r="C372" t="s">
        <v>11</v>
      </c>
      <c r="D372" t="s">
        <v>921</v>
      </c>
      <c r="E372" t="s">
        <v>30</v>
      </c>
      <c r="F372">
        <v>227</v>
      </c>
      <c r="G372">
        <v>120</v>
      </c>
      <c r="H372" t="s">
        <v>922</v>
      </c>
      <c r="I372" t="s">
        <v>20</v>
      </c>
      <c r="J372">
        <v>227</v>
      </c>
    </row>
    <row r="373" spans="1:10" x14ac:dyDescent="0.35">
      <c r="A373">
        <v>6410332</v>
      </c>
      <c r="B373" t="s">
        <v>913</v>
      </c>
      <c r="C373" t="s">
        <v>11</v>
      </c>
      <c r="D373" t="s">
        <v>923</v>
      </c>
      <c r="E373" t="s">
        <v>915</v>
      </c>
      <c r="F373">
        <v>108</v>
      </c>
      <c r="G373">
        <v>53</v>
      </c>
      <c r="H373" t="s">
        <v>916</v>
      </c>
      <c r="I373" t="s">
        <v>15</v>
      </c>
      <c r="J373">
        <v>108</v>
      </c>
    </row>
    <row r="374" spans="1:10" x14ac:dyDescent="0.35">
      <c r="A374">
        <v>30665</v>
      </c>
      <c r="B374" t="s">
        <v>709</v>
      </c>
      <c r="C374" t="s">
        <v>65</v>
      </c>
      <c r="D374" t="s">
        <v>924</v>
      </c>
      <c r="E374" t="s">
        <v>145</v>
      </c>
      <c r="F374">
        <v>145</v>
      </c>
      <c r="G374">
        <v>73</v>
      </c>
      <c r="H374" t="s">
        <v>925</v>
      </c>
      <c r="I374" t="s">
        <v>20</v>
      </c>
      <c r="J374">
        <v>145</v>
      </c>
    </row>
    <row r="375" spans="1:10" x14ac:dyDescent="0.35">
      <c r="A375">
        <v>30665</v>
      </c>
      <c r="B375" t="s">
        <v>709</v>
      </c>
      <c r="C375" t="s">
        <v>33</v>
      </c>
      <c r="D375" t="s">
        <v>926</v>
      </c>
      <c r="E375" t="s">
        <v>145</v>
      </c>
      <c r="F375">
        <v>145</v>
      </c>
      <c r="G375">
        <v>73</v>
      </c>
      <c r="H375" t="s">
        <v>927</v>
      </c>
      <c r="I375" t="s">
        <v>20</v>
      </c>
      <c r="J375">
        <v>145</v>
      </c>
    </row>
    <row r="376" spans="1:10" x14ac:dyDescent="0.35">
      <c r="B376" t="s">
        <v>928</v>
      </c>
      <c r="C376" t="s">
        <v>11</v>
      </c>
      <c r="D376" t="s">
        <v>929</v>
      </c>
      <c r="E376" t="s">
        <v>13</v>
      </c>
      <c r="F376">
        <v>43</v>
      </c>
      <c r="G376">
        <v>22</v>
      </c>
      <c r="H376" t="s">
        <v>930</v>
      </c>
      <c r="I376" t="s">
        <v>15</v>
      </c>
      <c r="J376">
        <v>43</v>
      </c>
    </row>
    <row r="377" spans="1:10" x14ac:dyDescent="0.35">
      <c r="A377">
        <v>30665</v>
      </c>
      <c r="B377" t="s">
        <v>709</v>
      </c>
      <c r="C377" t="s">
        <v>72</v>
      </c>
      <c r="D377" t="s">
        <v>931</v>
      </c>
      <c r="E377" t="s">
        <v>145</v>
      </c>
      <c r="F377">
        <v>145</v>
      </c>
      <c r="G377">
        <v>73</v>
      </c>
      <c r="H377" t="s">
        <v>932</v>
      </c>
      <c r="I377" t="s">
        <v>20</v>
      </c>
      <c r="J377">
        <v>145</v>
      </c>
    </row>
    <row r="378" spans="1:10" x14ac:dyDescent="0.35">
      <c r="A378">
        <v>30665</v>
      </c>
      <c r="B378" t="s">
        <v>709</v>
      </c>
      <c r="C378" t="s">
        <v>214</v>
      </c>
      <c r="D378" t="s">
        <v>933</v>
      </c>
      <c r="E378" t="s">
        <v>145</v>
      </c>
      <c r="F378">
        <v>145</v>
      </c>
      <c r="G378">
        <v>73</v>
      </c>
      <c r="H378" t="s">
        <v>934</v>
      </c>
      <c r="I378" t="s">
        <v>20</v>
      </c>
      <c r="J378">
        <v>145</v>
      </c>
    </row>
    <row r="379" spans="1:10" x14ac:dyDescent="0.35">
      <c r="A379">
        <v>30085</v>
      </c>
      <c r="B379" t="s">
        <v>935</v>
      </c>
      <c r="C379" t="s">
        <v>11</v>
      </c>
      <c r="D379" t="s">
        <v>936</v>
      </c>
      <c r="E379" t="s">
        <v>196</v>
      </c>
      <c r="F379">
        <v>254</v>
      </c>
      <c r="G379">
        <v>128</v>
      </c>
      <c r="H379" t="s">
        <v>937</v>
      </c>
      <c r="I379" t="s">
        <v>20</v>
      </c>
      <c r="J379">
        <v>254</v>
      </c>
    </row>
    <row r="380" spans="1:10" x14ac:dyDescent="0.35">
      <c r="A380">
        <v>29969</v>
      </c>
      <c r="B380" t="s">
        <v>938</v>
      </c>
      <c r="C380" t="s">
        <v>11</v>
      </c>
      <c r="D380" t="s">
        <v>939</v>
      </c>
      <c r="E380" t="s">
        <v>39</v>
      </c>
      <c r="F380">
        <v>189</v>
      </c>
      <c r="G380">
        <v>95</v>
      </c>
      <c r="H380" t="s">
        <v>940</v>
      </c>
      <c r="I380" t="s">
        <v>20</v>
      </c>
      <c r="J380">
        <v>189</v>
      </c>
    </row>
    <row r="381" spans="1:10" x14ac:dyDescent="0.35">
      <c r="A381">
        <v>4720610</v>
      </c>
      <c r="B381" t="s">
        <v>941</v>
      </c>
      <c r="C381" t="s">
        <v>11</v>
      </c>
      <c r="D381" t="s">
        <v>942</v>
      </c>
      <c r="E381" t="s">
        <v>108</v>
      </c>
      <c r="F381">
        <v>118</v>
      </c>
      <c r="G381">
        <v>60</v>
      </c>
      <c r="H381" t="s">
        <v>943</v>
      </c>
      <c r="I381" t="s">
        <v>15</v>
      </c>
      <c r="J381">
        <v>118</v>
      </c>
    </row>
    <row r="382" spans="1:10" x14ac:dyDescent="0.35">
      <c r="A382">
        <v>42662</v>
      </c>
      <c r="B382" t="s">
        <v>944</v>
      </c>
      <c r="C382" t="s">
        <v>11</v>
      </c>
      <c r="D382" t="s">
        <v>945</v>
      </c>
      <c r="E382" t="s">
        <v>59</v>
      </c>
      <c r="F382">
        <v>244</v>
      </c>
      <c r="G382">
        <v>123</v>
      </c>
      <c r="H382" t="s">
        <v>946</v>
      </c>
      <c r="I382" t="s">
        <v>20</v>
      </c>
      <c r="J382">
        <v>244</v>
      </c>
    </row>
    <row r="383" spans="1:10" x14ac:dyDescent="0.35">
      <c r="A383">
        <v>42662</v>
      </c>
      <c r="B383" t="s">
        <v>944</v>
      </c>
      <c r="C383" t="s">
        <v>25</v>
      </c>
      <c r="D383" t="s">
        <v>947</v>
      </c>
      <c r="E383" t="s">
        <v>59</v>
      </c>
      <c r="F383">
        <v>244</v>
      </c>
      <c r="G383">
        <v>123</v>
      </c>
      <c r="H383" t="s">
        <v>948</v>
      </c>
      <c r="I383" t="s">
        <v>20</v>
      </c>
      <c r="J383">
        <v>244</v>
      </c>
    </row>
    <row r="384" spans="1:10" x14ac:dyDescent="0.35">
      <c r="A384">
        <v>42662</v>
      </c>
      <c r="B384" t="s">
        <v>944</v>
      </c>
      <c r="C384" t="s">
        <v>33</v>
      </c>
      <c r="D384" t="s">
        <v>949</v>
      </c>
      <c r="E384" t="s">
        <v>59</v>
      </c>
      <c r="F384">
        <v>244</v>
      </c>
      <c r="G384">
        <v>123</v>
      </c>
      <c r="H384" t="s">
        <v>948</v>
      </c>
      <c r="I384" t="s">
        <v>20</v>
      </c>
      <c r="J384">
        <v>244</v>
      </c>
    </row>
    <row r="385" spans="1:10" x14ac:dyDescent="0.35">
      <c r="A385">
        <v>30348</v>
      </c>
      <c r="B385" t="s">
        <v>950</v>
      </c>
      <c r="C385" t="s">
        <v>11</v>
      </c>
      <c r="D385" t="s">
        <v>951</v>
      </c>
      <c r="E385" t="s">
        <v>39</v>
      </c>
      <c r="F385">
        <v>244</v>
      </c>
      <c r="G385">
        <v>122</v>
      </c>
      <c r="H385" t="s">
        <v>952</v>
      </c>
      <c r="I385" t="s">
        <v>20</v>
      </c>
      <c r="J385">
        <v>244</v>
      </c>
    </row>
    <row r="386" spans="1:10" x14ac:dyDescent="0.35">
      <c r="A386">
        <v>5357527</v>
      </c>
      <c r="B386" t="s">
        <v>953</v>
      </c>
      <c r="C386" t="s">
        <v>11</v>
      </c>
      <c r="D386" t="s">
        <v>954</v>
      </c>
      <c r="E386" t="s">
        <v>13</v>
      </c>
      <c r="F386">
        <v>42</v>
      </c>
      <c r="G386">
        <v>21</v>
      </c>
      <c r="H386" t="s">
        <v>955</v>
      </c>
      <c r="I386" t="s">
        <v>15</v>
      </c>
      <c r="J386">
        <v>42</v>
      </c>
    </row>
    <row r="387" spans="1:10" x14ac:dyDescent="0.35">
      <c r="A387">
        <v>1110900</v>
      </c>
      <c r="B387" t="s">
        <v>956</v>
      </c>
      <c r="C387" t="s">
        <v>11</v>
      </c>
      <c r="D387" t="s">
        <v>957</v>
      </c>
      <c r="E387" t="s">
        <v>711</v>
      </c>
      <c r="F387">
        <v>134</v>
      </c>
      <c r="G387">
        <v>75</v>
      </c>
      <c r="H387" t="s">
        <v>958</v>
      </c>
      <c r="I387" t="s">
        <v>20</v>
      </c>
      <c r="J387">
        <v>134</v>
      </c>
    </row>
    <row r="388" spans="1:10" x14ac:dyDescent="0.35">
      <c r="A388">
        <v>1110900</v>
      </c>
      <c r="B388" t="s">
        <v>956</v>
      </c>
      <c r="C388" t="s">
        <v>25</v>
      </c>
      <c r="D388" t="s">
        <v>959</v>
      </c>
      <c r="E388" t="s">
        <v>711</v>
      </c>
      <c r="F388">
        <v>134</v>
      </c>
      <c r="G388">
        <v>75</v>
      </c>
      <c r="H388" t="s">
        <v>958</v>
      </c>
      <c r="I388" t="s">
        <v>20</v>
      </c>
      <c r="J388">
        <v>134</v>
      </c>
    </row>
    <row r="389" spans="1:10" x14ac:dyDescent="0.35">
      <c r="A389">
        <v>5241707</v>
      </c>
      <c r="B389" t="s">
        <v>960</v>
      </c>
      <c r="C389" t="s">
        <v>11</v>
      </c>
      <c r="D389" t="s">
        <v>961</v>
      </c>
      <c r="E389" t="s">
        <v>108</v>
      </c>
      <c r="F389">
        <v>139</v>
      </c>
      <c r="G389">
        <v>69</v>
      </c>
      <c r="H389" t="s">
        <v>962</v>
      </c>
      <c r="I389" t="s">
        <v>15</v>
      </c>
      <c r="J389">
        <v>139</v>
      </c>
    </row>
    <row r="390" spans="1:10" x14ac:dyDescent="0.35">
      <c r="A390">
        <v>4793994</v>
      </c>
      <c r="B390" t="s">
        <v>963</v>
      </c>
      <c r="C390" t="s">
        <v>11</v>
      </c>
      <c r="D390" t="s">
        <v>964</v>
      </c>
      <c r="E390" t="s">
        <v>108</v>
      </c>
      <c r="F390">
        <v>156</v>
      </c>
      <c r="G390">
        <v>78</v>
      </c>
      <c r="H390" t="s">
        <v>965</v>
      </c>
      <c r="I390" t="s">
        <v>15</v>
      </c>
      <c r="J390">
        <v>156</v>
      </c>
    </row>
    <row r="391" spans="1:10" x14ac:dyDescent="0.35">
      <c r="A391">
        <v>5007798</v>
      </c>
      <c r="B391" t="s">
        <v>966</v>
      </c>
      <c r="C391" t="s">
        <v>11</v>
      </c>
      <c r="D391" t="s">
        <v>967</v>
      </c>
      <c r="E391" t="s">
        <v>70</v>
      </c>
      <c r="F391">
        <v>183</v>
      </c>
      <c r="G391">
        <v>107</v>
      </c>
      <c r="H391" t="s">
        <v>71</v>
      </c>
      <c r="I391" t="s">
        <v>15</v>
      </c>
      <c r="J391">
        <v>183</v>
      </c>
    </row>
    <row r="392" spans="1:10" x14ac:dyDescent="0.35">
      <c r="A392">
        <v>3978346</v>
      </c>
      <c r="B392" t="s">
        <v>968</v>
      </c>
      <c r="C392" t="s">
        <v>72</v>
      </c>
      <c r="D392" t="s">
        <v>969</v>
      </c>
      <c r="E392" t="s">
        <v>970</v>
      </c>
      <c r="F392">
        <v>220</v>
      </c>
      <c r="G392">
        <v>112</v>
      </c>
      <c r="H392" t="s">
        <v>971</v>
      </c>
      <c r="I392" t="s">
        <v>15</v>
      </c>
      <c r="J392">
        <v>220</v>
      </c>
    </row>
    <row r="393" spans="1:10" x14ac:dyDescent="0.35">
      <c r="A393">
        <v>3978346</v>
      </c>
      <c r="B393" t="s">
        <v>968</v>
      </c>
      <c r="C393" t="s">
        <v>25</v>
      </c>
      <c r="D393" t="s">
        <v>972</v>
      </c>
      <c r="E393" t="s">
        <v>970</v>
      </c>
      <c r="F393">
        <v>220</v>
      </c>
      <c r="G393">
        <v>112</v>
      </c>
      <c r="H393" t="s">
        <v>971</v>
      </c>
      <c r="I393" t="s">
        <v>15</v>
      </c>
      <c r="J393">
        <v>220</v>
      </c>
    </row>
    <row r="394" spans="1:10" x14ac:dyDescent="0.35">
      <c r="A394">
        <v>3978346</v>
      </c>
      <c r="B394" t="s">
        <v>968</v>
      </c>
      <c r="C394" t="s">
        <v>11</v>
      </c>
      <c r="D394" t="s">
        <v>973</v>
      </c>
      <c r="E394" t="s">
        <v>970</v>
      </c>
      <c r="F394">
        <v>220</v>
      </c>
      <c r="G394">
        <v>112</v>
      </c>
      <c r="H394" t="s">
        <v>971</v>
      </c>
      <c r="I394" t="s">
        <v>15</v>
      </c>
      <c r="J394">
        <v>220</v>
      </c>
    </row>
    <row r="395" spans="1:10" x14ac:dyDescent="0.35">
      <c r="A395">
        <v>3978346</v>
      </c>
      <c r="B395" t="s">
        <v>968</v>
      </c>
      <c r="C395" t="s">
        <v>33</v>
      </c>
      <c r="D395" t="s">
        <v>974</v>
      </c>
      <c r="E395" t="s">
        <v>970</v>
      </c>
      <c r="F395">
        <v>220</v>
      </c>
      <c r="G395">
        <v>112</v>
      </c>
      <c r="H395" t="s">
        <v>971</v>
      </c>
      <c r="I395" t="s">
        <v>15</v>
      </c>
      <c r="J395">
        <v>220</v>
      </c>
    </row>
    <row r="396" spans="1:10" x14ac:dyDescent="0.35">
      <c r="B396" t="s">
        <v>975</v>
      </c>
      <c r="C396" t="s">
        <v>25</v>
      </c>
      <c r="D396" t="s">
        <v>976</v>
      </c>
      <c r="E396" t="s">
        <v>13</v>
      </c>
      <c r="F396">
        <v>65</v>
      </c>
      <c r="G396">
        <v>33</v>
      </c>
      <c r="H396" t="s">
        <v>977</v>
      </c>
      <c r="I396" t="s">
        <v>15</v>
      </c>
      <c r="J396">
        <v>65</v>
      </c>
    </row>
    <row r="397" spans="1:10" x14ac:dyDescent="0.35">
      <c r="B397" t="s">
        <v>975</v>
      </c>
      <c r="C397" t="s">
        <v>11</v>
      </c>
      <c r="D397" t="s">
        <v>978</v>
      </c>
      <c r="E397" t="s">
        <v>13</v>
      </c>
      <c r="F397">
        <v>65</v>
      </c>
      <c r="G397">
        <v>33</v>
      </c>
      <c r="H397" t="s">
        <v>977</v>
      </c>
      <c r="I397" t="s">
        <v>15</v>
      </c>
      <c r="J397">
        <v>65</v>
      </c>
    </row>
    <row r="398" spans="1:10" x14ac:dyDescent="0.35">
      <c r="A398">
        <v>5538718</v>
      </c>
      <c r="B398" t="s">
        <v>979</v>
      </c>
      <c r="C398" t="s">
        <v>11</v>
      </c>
      <c r="D398" t="s">
        <v>980</v>
      </c>
      <c r="E398" t="s">
        <v>108</v>
      </c>
      <c r="F398">
        <v>122</v>
      </c>
      <c r="G398">
        <v>61</v>
      </c>
      <c r="H398" t="s">
        <v>981</v>
      </c>
      <c r="I398" t="s">
        <v>15</v>
      </c>
      <c r="J398">
        <v>122</v>
      </c>
    </row>
    <row r="399" spans="1:10" x14ac:dyDescent="0.35">
      <c r="A399">
        <v>5538718</v>
      </c>
      <c r="B399" t="s">
        <v>979</v>
      </c>
      <c r="C399" t="s">
        <v>25</v>
      </c>
      <c r="D399" t="s">
        <v>982</v>
      </c>
      <c r="E399" t="s">
        <v>108</v>
      </c>
      <c r="F399">
        <v>122</v>
      </c>
      <c r="G399">
        <v>61</v>
      </c>
      <c r="H399" t="s">
        <v>981</v>
      </c>
      <c r="I399" t="s">
        <v>15</v>
      </c>
      <c r="J399">
        <v>122</v>
      </c>
    </row>
    <row r="400" spans="1:10" x14ac:dyDescent="0.35">
      <c r="B400" t="s">
        <v>983</v>
      </c>
      <c r="C400" t="s">
        <v>11</v>
      </c>
      <c r="D400" t="s">
        <v>984</v>
      </c>
      <c r="E400" t="s">
        <v>13</v>
      </c>
      <c r="F400">
        <v>65</v>
      </c>
      <c r="G400">
        <v>33</v>
      </c>
      <c r="H400" t="s">
        <v>985</v>
      </c>
      <c r="I400" t="s">
        <v>15</v>
      </c>
      <c r="J400">
        <v>65</v>
      </c>
    </row>
    <row r="401" spans="1:10" x14ac:dyDescent="0.35">
      <c r="A401">
        <v>30078</v>
      </c>
      <c r="B401" t="s">
        <v>986</v>
      </c>
      <c r="C401" t="s">
        <v>11</v>
      </c>
      <c r="D401" t="s">
        <v>987</v>
      </c>
      <c r="E401" t="s">
        <v>30</v>
      </c>
      <c r="F401">
        <v>234</v>
      </c>
      <c r="G401">
        <v>122</v>
      </c>
      <c r="H401" t="s">
        <v>988</v>
      </c>
      <c r="I401" t="s">
        <v>20</v>
      </c>
      <c r="J401">
        <v>234</v>
      </c>
    </row>
    <row r="402" spans="1:10" x14ac:dyDescent="0.35">
      <c r="A402">
        <v>30078</v>
      </c>
      <c r="B402" t="s">
        <v>986</v>
      </c>
      <c r="C402" t="s">
        <v>25</v>
      </c>
      <c r="D402" t="s">
        <v>989</v>
      </c>
      <c r="E402" t="s">
        <v>30</v>
      </c>
      <c r="F402">
        <v>234</v>
      </c>
      <c r="G402">
        <v>122</v>
      </c>
      <c r="H402" t="s">
        <v>990</v>
      </c>
      <c r="I402" t="s">
        <v>20</v>
      </c>
      <c r="J402">
        <v>234</v>
      </c>
    </row>
    <row r="403" spans="1:10" x14ac:dyDescent="0.35">
      <c r="A403">
        <v>29438</v>
      </c>
      <c r="B403" t="s">
        <v>991</v>
      </c>
      <c r="C403" t="s">
        <v>11</v>
      </c>
      <c r="D403" t="s">
        <v>992</v>
      </c>
      <c r="E403" t="s">
        <v>288</v>
      </c>
      <c r="F403">
        <v>356</v>
      </c>
      <c r="G403">
        <v>178</v>
      </c>
      <c r="H403" t="s">
        <v>993</v>
      </c>
      <c r="I403" t="s">
        <v>20</v>
      </c>
      <c r="J403">
        <v>356</v>
      </c>
    </row>
    <row r="404" spans="1:10" x14ac:dyDescent="0.35">
      <c r="B404" t="s">
        <v>994</v>
      </c>
      <c r="C404" t="s">
        <v>11</v>
      </c>
      <c r="D404" t="s">
        <v>995</v>
      </c>
      <c r="E404" t="s">
        <v>13</v>
      </c>
      <c r="F404">
        <v>46</v>
      </c>
      <c r="G404">
        <v>24</v>
      </c>
      <c r="H404" t="s">
        <v>996</v>
      </c>
      <c r="I404" t="s">
        <v>15</v>
      </c>
      <c r="J404">
        <v>46</v>
      </c>
    </row>
    <row r="405" spans="1:10" x14ac:dyDescent="0.35">
      <c r="A405">
        <v>1111116</v>
      </c>
      <c r="B405" t="s">
        <v>997</v>
      </c>
      <c r="C405" t="s">
        <v>25</v>
      </c>
      <c r="D405" t="s">
        <v>998</v>
      </c>
      <c r="E405" t="s">
        <v>711</v>
      </c>
      <c r="F405">
        <v>134</v>
      </c>
      <c r="G405">
        <v>75</v>
      </c>
      <c r="H405" t="s">
        <v>958</v>
      </c>
      <c r="I405" t="s">
        <v>20</v>
      </c>
      <c r="J405">
        <v>134</v>
      </c>
    </row>
    <row r="406" spans="1:10" x14ac:dyDescent="0.35">
      <c r="A406">
        <v>1111116</v>
      </c>
      <c r="B406" t="s">
        <v>997</v>
      </c>
      <c r="C406" t="s">
        <v>11</v>
      </c>
      <c r="D406" t="s">
        <v>999</v>
      </c>
      <c r="E406" t="s">
        <v>711</v>
      </c>
      <c r="F406">
        <v>134</v>
      </c>
      <c r="G406">
        <v>75</v>
      </c>
      <c r="H406" t="s">
        <v>958</v>
      </c>
      <c r="I406" t="s">
        <v>20</v>
      </c>
      <c r="J406">
        <v>134</v>
      </c>
    </row>
    <row r="407" spans="1:10" x14ac:dyDescent="0.35">
      <c r="A407">
        <v>6371060</v>
      </c>
      <c r="B407" t="s">
        <v>1000</v>
      </c>
      <c r="C407" t="s">
        <v>11</v>
      </c>
      <c r="D407" t="s">
        <v>1001</v>
      </c>
      <c r="E407" t="s">
        <v>915</v>
      </c>
      <c r="F407">
        <v>97</v>
      </c>
      <c r="G407">
        <v>49</v>
      </c>
      <c r="H407" t="s">
        <v>1002</v>
      </c>
      <c r="I407" t="s">
        <v>15</v>
      </c>
      <c r="J407">
        <v>97</v>
      </c>
    </row>
    <row r="408" spans="1:10" x14ac:dyDescent="0.35">
      <c r="A408">
        <v>30463</v>
      </c>
      <c r="B408" t="s">
        <v>1003</v>
      </c>
      <c r="C408" t="s">
        <v>11</v>
      </c>
      <c r="D408" t="s">
        <v>1004</v>
      </c>
      <c r="E408" t="s">
        <v>39</v>
      </c>
      <c r="F408">
        <v>247</v>
      </c>
      <c r="G408">
        <v>123</v>
      </c>
      <c r="H408" t="s">
        <v>1005</v>
      </c>
      <c r="I408" t="s">
        <v>20</v>
      </c>
      <c r="J408">
        <v>247</v>
      </c>
    </row>
    <row r="409" spans="1:10" x14ac:dyDescent="0.35">
      <c r="A409">
        <v>6363318</v>
      </c>
      <c r="B409" t="s">
        <v>1006</v>
      </c>
      <c r="C409" t="s">
        <v>11</v>
      </c>
      <c r="D409" t="s">
        <v>1007</v>
      </c>
      <c r="E409" t="s">
        <v>108</v>
      </c>
      <c r="F409">
        <v>156</v>
      </c>
      <c r="G409">
        <v>78</v>
      </c>
      <c r="H409" t="s">
        <v>1008</v>
      </c>
      <c r="I409" t="s">
        <v>15</v>
      </c>
      <c r="J409">
        <v>156</v>
      </c>
    </row>
    <row r="410" spans="1:10" x14ac:dyDescent="0.35">
      <c r="B410" t="s">
        <v>1009</v>
      </c>
      <c r="C410" t="s">
        <v>11</v>
      </c>
      <c r="D410" t="s">
        <v>1010</v>
      </c>
      <c r="E410" t="s">
        <v>13</v>
      </c>
      <c r="F410">
        <v>39</v>
      </c>
      <c r="G410">
        <v>20</v>
      </c>
      <c r="H410" t="s">
        <v>1011</v>
      </c>
      <c r="I410" t="s">
        <v>15</v>
      </c>
      <c r="J410">
        <v>39</v>
      </c>
    </row>
    <row r="411" spans="1:10" x14ac:dyDescent="0.35">
      <c r="A411">
        <v>6363326</v>
      </c>
      <c r="B411" t="s">
        <v>1012</v>
      </c>
      <c r="C411" t="s">
        <v>72</v>
      </c>
      <c r="D411" t="s">
        <v>1013</v>
      </c>
      <c r="E411" t="s">
        <v>402</v>
      </c>
      <c r="F411">
        <v>139</v>
      </c>
      <c r="G411">
        <v>70</v>
      </c>
      <c r="H411" t="s">
        <v>1014</v>
      </c>
      <c r="I411" t="s">
        <v>15</v>
      </c>
      <c r="J411">
        <v>139</v>
      </c>
    </row>
    <row r="412" spans="1:10" x14ac:dyDescent="0.35">
      <c r="A412">
        <v>6363326</v>
      </c>
      <c r="B412" t="s">
        <v>1012</v>
      </c>
      <c r="C412" t="s">
        <v>11</v>
      </c>
      <c r="D412" t="s">
        <v>1015</v>
      </c>
      <c r="E412" t="s">
        <v>402</v>
      </c>
      <c r="F412">
        <v>139</v>
      </c>
      <c r="G412">
        <v>70</v>
      </c>
      <c r="H412" t="s">
        <v>1014</v>
      </c>
      <c r="I412" t="s">
        <v>15</v>
      </c>
      <c r="J412">
        <v>139</v>
      </c>
    </row>
    <row r="413" spans="1:10" x14ac:dyDescent="0.35">
      <c r="A413">
        <v>6363326</v>
      </c>
      <c r="B413" t="s">
        <v>1012</v>
      </c>
      <c r="C413" t="s">
        <v>25</v>
      </c>
      <c r="D413" t="s">
        <v>1016</v>
      </c>
      <c r="E413" t="s">
        <v>402</v>
      </c>
      <c r="F413">
        <v>139</v>
      </c>
      <c r="G413">
        <v>70</v>
      </c>
      <c r="H413" t="s">
        <v>1014</v>
      </c>
      <c r="I413" t="s">
        <v>15</v>
      </c>
      <c r="J413">
        <v>139</v>
      </c>
    </row>
    <row r="414" spans="1:10" x14ac:dyDescent="0.35">
      <c r="A414">
        <v>6363326</v>
      </c>
      <c r="B414" t="s">
        <v>1012</v>
      </c>
      <c r="C414" t="s">
        <v>33</v>
      </c>
      <c r="D414" t="s">
        <v>1017</v>
      </c>
      <c r="E414" t="s">
        <v>402</v>
      </c>
      <c r="F414">
        <v>139</v>
      </c>
      <c r="G414">
        <v>70</v>
      </c>
      <c r="H414" t="s">
        <v>1014</v>
      </c>
      <c r="I414" t="s">
        <v>15</v>
      </c>
      <c r="J414">
        <v>139</v>
      </c>
    </row>
    <row r="415" spans="1:10" x14ac:dyDescent="0.35">
      <c r="A415">
        <v>29439</v>
      </c>
      <c r="B415" t="s">
        <v>1018</v>
      </c>
      <c r="C415" t="s">
        <v>11</v>
      </c>
      <c r="D415" t="s">
        <v>1019</v>
      </c>
      <c r="E415" t="s">
        <v>288</v>
      </c>
      <c r="F415">
        <v>356</v>
      </c>
      <c r="G415">
        <v>178</v>
      </c>
      <c r="H415" t="s">
        <v>1020</v>
      </c>
      <c r="I415" t="s">
        <v>20</v>
      </c>
      <c r="J415">
        <v>356</v>
      </c>
    </row>
    <row r="416" spans="1:10" x14ac:dyDescent="0.35">
      <c r="A416">
        <v>29439</v>
      </c>
      <c r="B416" t="s">
        <v>1018</v>
      </c>
      <c r="C416" t="s">
        <v>25</v>
      </c>
      <c r="D416" t="s">
        <v>1021</v>
      </c>
      <c r="E416" t="s">
        <v>288</v>
      </c>
      <c r="F416">
        <v>356</v>
      </c>
      <c r="G416">
        <v>178</v>
      </c>
      <c r="H416" t="s">
        <v>1020</v>
      </c>
      <c r="I416" t="s">
        <v>20</v>
      </c>
      <c r="J416">
        <v>356</v>
      </c>
    </row>
    <row r="417" spans="1:10" x14ac:dyDescent="0.35">
      <c r="A417">
        <v>5809703</v>
      </c>
      <c r="B417" t="s">
        <v>1022</v>
      </c>
      <c r="C417" t="s">
        <v>11</v>
      </c>
      <c r="D417" t="s">
        <v>1023</v>
      </c>
      <c r="E417" t="s">
        <v>13</v>
      </c>
      <c r="F417">
        <v>26</v>
      </c>
      <c r="G417">
        <v>14</v>
      </c>
      <c r="H417" t="s">
        <v>1024</v>
      </c>
      <c r="I417" t="s">
        <v>15</v>
      </c>
      <c r="J417">
        <v>26</v>
      </c>
    </row>
    <row r="418" spans="1:10" x14ac:dyDescent="0.35">
      <c r="A418">
        <v>5809703</v>
      </c>
      <c r="B418" t="s">
        <v>1022</v>
      </c>
      <c r="C418" t="s">
        <v>25</v>
      </c>
      <c r="D418" t="s">
        <v>1025</v>
      </c>
      <c r="E418" t="s">
        <v>13</v>
      </c>
      <c r="F418">
        <v>26</v>
      </c>
      <c r="G418">
        <v>14</v>
      </c>
      <c r="H418" t="s">
        <v>1024</v>
      </c>
      <c r="I418" t="s">
        <v>15</v>
      </c>
      <c r="J418">
        <v>26</v>
      </c>
    </row>
    <row r="419" spans="1:10" x14ac:dyDescent="0.35">
      <c r="B419" t="s">
        <v>1026</v>
      </c>
      <c r="C419" t="s">
        <v>11</v>
      </c>
      <c r="D419" t="s">
        <v>1027</v>
      </c>
      <c r="E419" t="s">
        <v>13</v>
      </c>
      <c r="F419">
        <v>48</v>
      </c>
      <c r="G419">
        <v>24</v>
      </c>
      <c r="H419" t="s">
        <v>1028</v>
      </c>
      <c r="I419" t="s">
        <v>15</v>
      </c>
      <c r="J419">
        <v>48</v>
      </c>
    </row>
    <row r="420" spans="1:10" x14ac:dyDescent="0.35">
      <c r="B420" t="s">
        <v>1026</v>
      </c>
      <c r="C420" t="s">
        <v>25</v>
      </c>
      <c r="D420" t="s">
        <v>1029</v>
      </c>
      <c r="E420" t="s">
        <v>13</v>
      </c>
      <c r="F420">
        <v>48</v>
      </c>
      <c r="G420">
        <v>24</v>
      </c>
      <c r="H420" t="s">
        <v>1028</v>
      </c>
      <c r="I420" t="s">
        <v>15</v>
      </c>
      <c r="J420">
        <v>48</v>
      </c>
    </row>
    <row r="421" spans="1:10" x14ac:dyDescent="0.35">
      <c r="A421">
        <v>4224604</v>
      </c>
      <c r="B421" t="s">
        <v>1030</v>
      </c>
      <c r="C421" t="s">
        <v>11</v>
      </c>
      <c r="D421" t="s">
        <v>1031</v>
      </c>
      <c r="E421" t="s">
        <v>108</v>
      </c>
      <c r="F421">
        <v>98</v>
      </c>
      <c r="G421">
        <v>49</v>
      </c>
      <c r="H421" t="s">
        <v>1032</v>
      </c>
      <c r="I421" t="s">
        <v>15</v>
      </c>
      <c r="J421">
        <v>98</v>
      </c>
    </row>
    <row r="422" spans="1:10" x14ac:dyDescent="0.35">
      <c r="A422">
        <v>4224604</v>
      </c>
      <c r="B422" t="s">
        <v>1030</v>
      </c>
      <c r="C422" t="s">
        <v>25</v>
      </c>
      <c r="D422" t="s">
        <v>1033</v>
      </c>
      <c r="E422" t="s">
        <v>108</v>
      </c>
      <c r="F422">
        <v>98</v>
      </c>
      <c r="G422">
        <v>49</v>
      </c>
      <c r="H422" t="s">
        <v>1032</v>
      </c>
      <c r="I422" t="s">
        <v>15</v>
      </c>
      <c r="J422">
        <v>98</v>
      </c>
    </row>
    <row r="423" spans="1:10" x14ac:dyDescent="0.35">
      <c r="A423">
        <v>4224604</v>
      </c>
      <c r="B423" t="s">
        <v>1030</v>
      </c>
      <c r="C423" t="s">
        <v>33</v>
      </c>
      <c r="D423" t="s">
        <v>1034</v>
      </c>
      <c r="E423" t="s">
        <v>108</v>
      </c>
      <c r="F423">
        <v>98</v>
      </c>
      <c r="G423">
        <v>49</v>
      </c>
      <c r="H423" t="s">
        <v>1032</v>
      </c>
      <c r="I423" t="s">
        <v>15</v>
      </c>
      <c r="J423">
        <v>98</v>
      </c>
    </row>
    <row r="424" spans="1:10" x14ac:dyDescent="0.35">
      <c r="A424">
        <v>4224604</v>
      </c>
      <c r="B424" t="s">
        <v>1030</v>
      </c>
      <c r="C424" t="s">
        <v>72</v>
      </c>
      <c r="D424" t="s">
        <v>1035</v>
      </c>
      <c r="E424" t="s">
        <v>108</v>
      </c>
      <c r="F424">
        <v>98</v>
      </c>
      <c r="G424">
        <v>49</v>
      </c>
      <c r="H424" t="s">
        <v>1032</v>
      </c>
      <c r="I424" t="s">
        <v>15</v>
      </c>
      <c r="J424">
        <v>98</v>
      </c>
    </row>
    <row r="425" spans="1:10" x14ac:dyDescent="0.35">
      <c r="A425">
        <v>29902</v>
      </c>
      <c r="B425" t="s">
        <v>1036</v>
      </c>
      <c r="C425" t="s">
        <v>11</v>
      </c>
      <c r="D425" t="s">
        <v>1037</v>
      </c>
      <c r="E425" t="s">
        <v>30</v>
      </c>
      <c r="F425">
        <v>196</v>
      </c>
      <c r="G425">
        <v>106</v>
      </c>
      <c r="H425" t="s">
        <v>580</v>
      </c>
      <c r="I425" t="s">
        <v>20</v>
      </c>
      <c r="J425">
        <v>196</v>
      </c>
    </row>
    <row r="426" spans="1:10" x14ac:dyDescent="0.35">
      <c r="A426">
        <v>29891</v>
      </c>
      <c r="B426" t="s">
        <v>1038</v>
      </c>
      <c r="C426" t="s">
        <v>11</v>
      </c>
      <c r="D426" t="s">
        <v>1039</v>
      </c>
      <c r="E426" t="s">
        <v>145</v>
      </c>
      <c r="F426">
        <v>129</v>
      </c>
      <c r="G426">
        <v>64</v>
      </c>
      <c r="H426" t="s">
        <v>1040</v>
      </c>
      <c r="I426" t="s">
        <v>20</v>
      </c>
      <c r="J426">
        <v>129</v>
      </c>
    </row>
    <row r="427" spans="1:10" x14ac:dyDescent="0.35">
      <c r="A427">
        <v>5369800</v>
      </c>
      <c r="B427" t="s">
        <v>1041</v>
      </c>
      <c r="C427" t="s">
        <v>11</v>
      </c>
      <c r="D427" t="s">
        <v>1042</v>
      </c>
      <c r="E427" t="s">
        <v>1043</v>
      </c>
      <c r="F427">
        <v>76</v>
      </c>
      <c r="G427">
        <v>39</v>
      </c>
      <c r="H427" t="s">
        <v>1044</v>
      </c>
      <c r="I427" t="s">
        <v>15</v>
      </c>
      <c r="J427">
        <v>76</v>
      </c>
    </row>
    <row r="428" spans="1:10" x14ac:dyDescent="0.35">
      <c r="A428">
        <v>6211631</v>
      </c>
      <c r="B428" t="s">
        <v>1045</v>
      </c>
      <c r="C428" t="s">
        <v>11</v>
      </c>
      <c r="D428" t="s">
        <v>1046</v>
      </c>
      <c r="E428" t="s">
        <v>108</v>
      </c>
      <c r="F428">
        <v>140</v>
      </c>
      <c r="G428">
        <v>70</v>
      </c>
      <c r="H428" t="s">
        <v>1047</v>
      </c>
      <c r="I428" t="s">
        <v>15</v>
      </c>
      <c r="J428">
        <v>140</v>
      </c>
    </row>
    <row r="429" spans="1:10" x14ac:dyDescent="0.35">
      <c r="A429">
        <v>6211631</v>
      </c>
      <c r="B429" t="s">
        <v>1045</v>
      </c>
      <c r="C429" t="s">
        <v>72</v>
      </c>
      <c r="D429" t="s">
        <v>1048</v>
      </c>
      <c r="E429" t="s">
        <v>108</v>
      </c>
      <c r="F429">
        <v>140</v>
      </c>
      <c r="G429">
        <v>70</v>
      </c>
      <c r="H429" t="s">
        <v>1047</v>
      </c>
      <c r="I429" t="s">
        <v>15</v>
      </c>
      <c r="J429">
        <v>140</v>
      </c>
    </row>
    <row r="430" spans="1:10" x14ac:dyDescent="0.35">
      <c r="A430">
        <v>6211631</v>
      </c>
      <c r="B430" t="s">
        <v>1045</v>
      </c>
      <c r="C430" t="s">
        <v>33</v>
      </c>
      <c r="D430" t="s">
        <v>1049</v>
      </c>
      <c r="E430" t="s">
        <v>108</v>
      </c>
      <c r="F430">
        <v>140</v>
      </c>
      <c r="G430">
        <v>70</v>
      </c>
      <c r="H430" t="s">
        <v>1047</v>
      </c>
      <c r="I430" t="s">
        <v>15</v>
      </c>
      <c r="J430">
        <v>140</v>
      </c>
    </row>
    <row r="431" spans="1:10" x14ac:dyDescent="0.35">
      <c r="A431">
        <v>6211631</v>
      </c>
      <c r="B431" t="s">
        <v>1045</v>
      </c>
      <c r="C431" t="s">
        <v>25</v>
      </c>
      <c r="D431" t="s">
        <v>1050</v>
      </c>
      <c r="E431" t="s">
        <v>108</v>
      </c>
      <c r="F431">
        <v>140</v>
      </c>
      <c r="G431">
        <v>70</v>
      </c>
      <c r="H431" t="s">
        <v>1047</v>
      </c>
      <c r="I431" t="s">
        <v>15</v>
      </c>
      <c r="J431">
        <v>140</v>
      </c>
    </row>
    <row r="432" spans="1:10" x14ac:dyDescent="0.35">
      <c r="A432">
        <v>3641368</v>
      </c>
      <c r="B432" t="s">
        <v>1051</v>
      </c>
      <c r="C432" t="s">
        <v>25</v>
      </c>
      <c r="D432" t="s">
        <v>1052</v>
      </c>
      <c r="E432" t="s">
        <v>108</v>
      </c>
      <c r="F432">
        <v>124</v>
      </c>
      <c r="G432">
        <v>62</v>
      </c>
      <c r="H432" t="s">
        <v>1053</v>
      </c>
      <c r="I432" t="s">
        <v>15</v>
      </c>
      <c r="J432">
        <v>124</v>
      </c>
    </row>
    <row r="433" spans="1:10" x14ac:dyDescent="0.35">
      <c r="A433">
        <v>3641368</v>
      </c>
      <c r="B433" t="s">
        <v>1051</v>
      </c>
      <c r="C433" t="s">
        <v>11</v>
      </c>
      <c r="D433" t="s">
        <v>1054</v>
      </c>
      <c r="E433" t="s">
        <v>108</v>
      </c>
      <c r="F433">
        <v>124</v>
      </c>
      <c r="G433">
        <v>62</v>
      </c>
      <c r="H433" t="s">
        <v>1053</v>
      </c>
      <c r="I433" t="s">
        <v>15</v>
      </c>
      <c r="J433">
        <v>124</v>
      </c>
    </row>
    <row r="434" spans="1:10" x14ac:dyDescent="0.35">
      <c r="A434">
        <v>6455646</v>
      </c>
      <c r="B434" t="s">
        <v>1055</v>
      </c>
      <c r="C434" t="s">
        <v>277</v>
      </c>
      <c r="D434" t="s">
        <v>1056</v>
      </c>
      <c r="E434" t="s">
        <v>13</v>
      </c>
      <c r="F434">
        <v>65</v>
      </c>
      <c r="G434">
        <v>32</v>
      </c>
      <c r="H434" t="s">
        <v>279</v>
      </c>
      <c r="I434" t="s">
        <v>15</v>
      </c>
      <c r="J434">
        <v>65</v>
      </c>
    </row>
    <row r="435" spans="1:10" x14ac:dyDescent="0.35">
      <c r="B435" t="s">
        <v>1057</v>
      </c>
      <c r="C435" t="s">
        <v>25</v>
      </c>
      <c r="D435" t="s">
        <v>1058</v>
      </c>
      <c r="E435" t="s">
        <v>13</v>
      </c>
      <c r="F435">
        <v>73</v>
      </c>
      <c r="G435">
        <v>37</v>
      </c>
      <c r="H435" t="s">
        <v>1059</v>
      </c>
      <c r="I435" t="s">
        <v>15</v>
      </c>
      <c r="J435">
        <v>73</v>
      </c>
    </row>
    <row r="436" spans="1:10" x14ac:dyDescent="0.35">
      <c r="B436" t="s">
        <v>1057</v>
      </c>
      <c r="C436" t="s">
        <v>11</v>
      </c>
      <c r="D436" t="s">
        <v>1060</v>
      </c>
      <c r="E436" t="s">
        <v>13</v>
      </c>
      <c r="F436">
        <v>73</v>
      </c>
      <c r="G436">
        <v>37</v>
      </c>
      <c r="H436" t="s">
        <v>1059</v>
      </c>
      <c r="I436" t="s">
        <v>15</v>
      </c>
      <c r="J436">
        <v>73</v>
      </c>
    </row>
    <row r="437" spans="1:10" x14ac:dyDescent="0.35">
      <c r="B437" t="s">
        <v>1061</v>
      </c>
      <c r="C437" t="s">
        <v>11</v>
      </c>
      <c r="D437" t="s">
        <v>1062</v>
      </c>
      <c r="E437" t="s">
        <v>13</v>
      </c>
      <c r="F437">
        <v>63</v>
      </c>
      <c r="G437">
        <v>32</v>
      </c>
      <c r="H437" t="s">
        <v>1063</v>
      </c>
      <c r="I437" t="s">
        <v>15</v>
      </c>
      <c r="J437">
        <v>63</v>
      </c>
    </row>
    <row r="438" spans="1:10" x14ac:dyDescent="0.35">
      <c r="A438">
        <v>6014453</v>
      </c>
      <c r="B438" t="s">
        <v>1064</v>
      </c>
      <c r="C438" t="s">
        <v>33</v>
      </c>
      <c r="D438" t="s">
        <v>1065</v>
      </c>
      <c r="E438" t="s">
        <v>70</v>
      </c>
      <c r="F438">
        <v>188</v>
      </c>
      <c r="G438">
        <v>101</v>
      </c>
      <c r="H438" t="s">
        <v>1066</v>
      </c>
      <c r="I438" t="s">
        <v>15</v>
      </c>
      <c r="J438">
        <v>188</v>
      </c>
    </row>
    <row r="439" spans="1:10" x14ac:dyDescent="0.35">
      <c r="A439">
        <v>6014453</v>
      </c>
      <c r="B439" t="s">
        <v>1064</v>
      </c>
      <c r="C439" t="s">
        <v>25</v>
      </c>
      <c r="D439" t="s">
        <v>1067</v>
      </c>
      <c r="E439" t="s">
        <v>70</v>
      </c>
      <c r="F439">
        <v>188</v>
      </c>
      <c r="G439">
        <v>101</v>
      </c>
      <c r="H439" t="s">
        <v>1066</v>
      </c>
      <c r="I439" t="s">
        <v>15</v>
      </c>
      <c r="J439">
        <v>188</v>
      </c>
    </row>
    <row r="440" spans="1:10" x14ac:dyDescent="0.35">
      <c r="A440">
        <v>6014453</v>
      </c>
      <c r="B440" t="s">
        <v>1064</v>
      </c>
      <c r="C440" t="s">
        <v>11</v>
      </c>
      <c r="D440" t="s">
        <v>1068</v>
      </c>
      <c r="E440" t="s">
        <v>70</v>
      </c>
      <c r="F440">
        <v>188</v>
      </c>
      <c r="G440">
        <v>101</v>
      </c>
      <c r="H440" t="s">
        <v>1066</v>
      </c>
      <c r="I440" t="s">
        <v>15</v>
      </c>
      <c r="J440">
        <v>188</v>
      </c>
    </row>
    <row r="441" spans="1:10" x14ac:dyDescent="0.35">
      <c r="B441" t="s">
        <v>1069</v>
      </c>
      <c r="C441" t="s">
        <v>11</v>
      </c>
      <c r="D441" t="s">
        <v>1070</v>
      </c>
      <c r="E441" t="s">
        <v>13</v>
      </c>
      <c r="F441">
        <v>81</v>
      </c>
      <c r="G441">
        <v>41</v>
      </c>
      <c r="H441" t="s">
        <v>1071</v>
      </c>
      <c r="I441" t="s">
        <v>15</v>
      </c>
      <c r="J441">
        <v>81</v>
      </c>
    </row>
    <row r="442" spans="1:10" x14ac:dyDescent="0.35">
      <c r="A442">
        <v>5442982</v>
      </c>
      <c r="B442" t="s">
        <v>1072</v>
      </c>
      <c r="C442" t="s">
        <v>11</v>
      </c>
      <c r="D442" t="s">
        <v>1073</v>
      </c>
      <c r="E442" t="s">
        <v>108</v>
      </c>
      <c r="F442">
        <v>128</v>
      </c>
      <c r="G442">
        <v>64</v>
      </c>
      <c r="H442" t="s">
        <v>1074</v>
      </c>
      <c r="I442" t="s">
        <v>15</v>
      </c>
      <c r="J442">
        <v>128</v>
      </c>
    </row>
    <row r="443" spans="1:10" x14ac:dyDescent="0.35">
      <c r="A443">
        <v>5442982</v>
      </c>
      <c r="B443" t="s">
        <v>1072</v>
      </c>
      <c r="C443" t="s">
        <v>25</v>
      </c>
      <c r="D443" t="s">
        <v>1075</v>
      </c>
      <c r="E443" t="s">
        <v>108</v>
      </c>
      <c r="F443">
        <v>128</v>
      </c>
      <c r="G443">
        <v>64</v>
      </c>
      <c r="H443" t="s">
        <v>1074</v>
      </c>
      <c r="I443" t="s">
        <v>15</v>
      </c>
      <c r="J443">
        <v>128</v>
      </c>
    </row>
    <row r="444" spans="1:10" x14ac:dyDescent="0.35">
      <c r="A444">
        <v>5442982</v>
      </c>
      <c r="B444" t="s">
        <v>1072</v>
      </c>
      <c r="C444" t="s">
        <v>33</v>
      </c>
      <c r="D444" t="s">
        <v>1076</v>
      </c>
      <c r="E444" t="s">
        <v>108</v>
      </c>
      <c r="F444">
        <v>128</v>
      </c>
      <c r="G444">
        <v>64</v>
      </c>
      <c r="H444" t="s">
        <v>1074</v>
      </c>
      <c r="I444" t="s">
        <v>15</v>
      </c>
      <c r="J444">
        <v>128</v>
      </c>
    </row>
    <row r="445" spans="1:10" x14ac:dyDescent="0.35">
      <c r="A445">
        <v>5442982</v>
      </c>
      <c r="B445" t="s">
        <v>1072</v>
      </c>
      <c r="C445" t="s">
        <v>72</v>
      </c>
      <c r="D445" t="s">
        <v>1077</v>
      </c>
      <c r="E445" t="s">
        <v>108</v>
      </c>
      <c r="F445">
        <v>128</v>
      </c>
      <c r="G445">
        <v>64</v>
      </c>
      <c r="H445" t="s">
        <v>1074</v>
      </c>
      <c r="I445" t="s">
        <v>15</v>
      </c>
      <c r="J445">
        <v>128</v>
      </c>
    </row>
    <row r="446" spans="1:10" x14ac:dyDescent="0.35">
      <c r="A446">
        <v>5442982</v>
      </c>
      <c r="B446" t="s">
        <v>1072</v>
      </c>
      <c r="C446" t="s">
        <v>65</v>
      </c>
      <c r="D446" t="s">
        <v>1078</v>
      </c>
      <c r="E446" t="s">
        <v>108</v>
      </c>
      <c r="F446">
        <v>128</v>
      </c>
      <c r="G446">
        <v>64</v>
      </c>
      <c r="H446" t="s">
        <v>1074</v>
      </c>
      <c r="I446" t="s">
        <v>15</v>
      </c>
      <c r="J446">
        <v>128</v>
      </c>
    </row>
    <row r="447" spans="1:10" x14ac:dyDescent="0.35">
      <c r="A447">
        <v>5757061</v>
      </c>
      <c r="B447" t="s">
        <v>1079</v>
      </c>
      <c r="C447" t="s">
        <v>25</v>
      </c>
      <c r="D447" t="s">
        <v>1080</v>
      </c>
      <c r="E447" t="s">
        <v>13</v>
      </c>
      <c r="F447">
        <v>62</v>
      </c>
      <c r="G447">
        <v>31</v>
      </c>
      <c r="H447" t="s">
        <v>1081</v>
      </c>
      <c r="I447" t="s">
        <v>15</v>
      </c>
      <c r="J447">
        <v>62</v>
      </c>
    </row>
    <row r="448" spans="1:10" x14ac:dyDescent="0.35">
      <c r="A448">
        <v>5757061</v>
      </c>
      <c r="B448" t="s">
        <v>1079</v>
      </c>
      <c r="C448" t="s">
        <v>11</v>
      </c>
      <c r="D448" t="s">
        <v>1082</v>
      </c>
      <c r="E448" t="s">
        <v>13</v>
      </c>
      <c r="F448">
        <v>62</v>
      </c>
      <c r="G448">
        <v>31</v>
      </c>
      <c r="H448" t="s">
        <v>1081</v>
      </c>
      <c r="I448" t="s">
        <v>15</v>
      </c>
      <c r="J448">
        <v>62</v>
      </c>
    </row>
    <row r="449" spans="1:10" x14ac:dyDescent="0.35">
      <c r="B449" t="s">
        <v>1083</v>
      </c>
      <c r="C449" t="s">
        <v>11</v>
      </c>
      <c r="D449" t="s">
        <v>1084</v>
      </c>
      <c r="E449" t="s">
        <v>13</v>
      </c>
      <c r="F449">
        <v>44</v>
      </c>
      <c r="G449">
        <v>22</v>
      </c>
      <c r="H449" t="s">
        <v>1085</v>
      </c>
      <c r="I449" t="s">
        <v>15</v>
      </c>
      <c r="J449">
        <v>44</v>
      </c>
    </row>
    <row r="450" spans="1:10" x14ac:dyDescent="0.35">
      <c r="A450">
        <v>6143342</v>
      </c>
      <c r="B450" t="s">
        <v>1086</v>
      </c>
      <c r="C450" t="s">
        <v>33</v>
      </c>
      <c r="D450" t="s">
        <v>1087</v>
      </c>
      <c r="E450" t="s">
        <v>108</v>
      </c>
      <c r="F450">
        <v>100</v>
      </c>
      <c r="G450">
        <v>63</v>
      </c>
      <c r="H450" t="s">
        <v>1088</v>
      </c>
      <c r="I450" t="s">
        <v>15</v>
      </c>
      <c r="J450">
        <v>100</v>
      </c>
    </row>
    <row r="451" spans="1:10" x14ac:dyDescent="0.35">
      <c r="A451">
        <v>6143342</v>
      </c>
      <c r="B451" t="s">
        <v>1086</v>
      </c>
      <c r="C451" t="s">
        <v>11</v>
      </c>
      <c r="D451" t="s">
        <v>1089</v>
      </c>
      <c r="E451" t="s">
        <v>108</v>
      </c>
      <c r="F451">
        <v>100</v>
      </c>
      <c r="G451">
        <v>63</v>
      </c>
      <c r="H451" t="s">
        <v>1088</v>
      </c>
      <c r="I451" t="s">
        <v>15</v>
      </c>
      <c r="J451">
        <v>100</v>
      </c>
    </row>
    <row r="452" spans="1:10" x14ac:dyDescent="0.35">
      <c r="A452">
        <v>1088114</v>
      </c>
      <c r="B452" t="s">
        <v>1090</v>
      </c>
      <c r="C452" t="s">
        <v>25</v>
      </c>
      <c r="D452" t="s">
        <v>1091</v>
      </c>
      <c r="E452" t="s">
        <v>30</v>
      </c>
      <c r="F452">
        <v>168</v>
      </c>
      <c r="G452">
        <v>83</v>
      </c>
      <c r="H452" t="s">
        <v>1092</v>
      </c>
      <c r="I452" t="s">
        <v>20</v>
      </c>
      <c r="J452">
        <v>168</v>
      </c>
    </row>
    <row r="453" spans="1:10" x14ac:dyDescent="0.35">
      <c r="A453">
        <v>1088114</v>
      </c>
      <c r="B453" t="s">
        <v>1090</v>
      </c>
      <c r="C453" t="s">
        <v>11</v>
      </c>
      <c r="D453" t="s">
        <v>1093</v>
      </c>
      <c r="E453" t="s">
        <v>30</v>
      </c>
      <c r="F453">
        <v>168</v>
      </c>
      <c r="G453">
        <v>83</v>
      </c>
      <c r="H453" t="s">
        <v>1092</v>
      </c>
      <c r="I453" t="s">
        <v>20</v>
      </c>
      <c r="J453">
        <v>168</v>
      </c>
    </row>
    <row r="454" spans="1:10" x14ac:dyDescent="0.35">
      <c r="A454">
        <v>3999548</v>
      </c>
      <c r="B454" t="s">
        <v>1094</v>
      </c>
      <c r="C454" t="s">
        <v>25</v>
      </c>
      <c r="D454" t="s">
        <v>1095</v>
      </c>
      <c r="E454" t="s">
        <v>108</v>
      </c>
      <c r="F454">
        <v>98</v>
      </c>
      <c r="G454">
        <v>74</v>
      </c>
      <c r="H454" t="s">
        <v>1096</v>
      </c>
      <c r="I454" t="s">
        <v>15</v>
      </c>
      <c r="J454">
        <v>98</v>
      </c>
    </row>
    <row r="455" spans="1:10" x14ac:dyDescent="0.35">
      <c r="A455">
        <v>3999548</v>
      </c>
      <c r="B455" t="s">
        <v>1094</v>
      </c>
      <c r="C455" t="s">
        <v>33</v>
      </c>
      <c r="D455" t="s">
        <v>1097</v>
      </c>
      <c r="E455" t="s">
        <v>108</v>
      </c>
      <c r="F455">
        <v>98</v>
      </c>
      <c r="G455">
        <v>74</v>
      </c>
      <c r="H455" t="s">
        <v>1096</v>
      </c>
      <c r="I455" t="s">
        <v>15</v>
      </c>
      <c r="J455">
        <v>98</v>
      </c>
    </row>
    <row r="456" spans="1:10" x14ac:dyDescent="0.35">
      <c r="A456">
        <v>3999548</v>
      </c>
      <c r="B456" t="s">
        <v>1094</v>
      </c>
      <c r="C456" t="s">
        <v>11</v>
      </c>
      <c r="D456" t="s">
        <v>1098</v>
      </c>
      <c r="E456" t="s">
        <v>108</v>
      </c>
      <c r="F456">
        <v>98</v>
      </c>
      <c r="G456">
        <v>74</v>
      </c>
      <c r="H456" t="s">
        <v>1096</v>
      </c>
      <c r="I456" t="s">
        <v>15</v>
      </c>
      <c r="J456">
        <v>98</v>
      </c>
    </row>
    <row r="457" spans="1:10" x14ac:dyDescent="0.35">
      <c r="A457">
        <v>6458092</v>
      </c>
      <c r="B457" t="s">
        <v>1099</v>
      </c>
      <c r="C457" t="s">
        <v>277</v>
      </c>
      <c r="D457" t="s">
        <v>1100</v>
      </c>
      <c r="E457" t="s">
        <v>915</v>
      </c>
      <c r="F457">
        <v>98</v>
      </c>
      <c r="G457">
        <v>49</v>
      </c>
      <c r="H457" t="s">
        <v>1101</v>
      </c>
      <c r="I457" t="s">
        <v>15</v>
      </c>
      <c r="J457">
        <v>98</v>
      </c>
    </row>
    <row r="458" spans="1:10" x14ac:dyDescent="0.35">
      <c r="A458">
        <v>30081</v>
      </c>
      <c r="B458" t="s">
        <v>1102</v>
      </c>
      <c r="C458" t="s">
        <v>11</v>
      </c>
      <c r="D458" t="s">
        <v>1103</v>
      </c>
      <c r="E458" t="s">
        <v>30</v>
      </c>
      <c r="F458">
        <v>228</v>
      </c>
      <c r="G458">
        <v>121</v>
      </c>
      <c r="H458" t="s">
        <v>1104</v>
      </c>
      <c r="I458" t="s">
        <v>20</v>
      </c>
      <c r="J458">
        <v>228</v>
      </c>
    </row>
    <row r="459" spans="1:10" x14ac:dyDescent="0.35">
      <c r="A459">
        <v>30081</v>
      </c>
      <c r="B459" t="s">
        <v>1102</v>
      </c>
      <c r="C459" t="s">
        <v>25</v>
      </c>
      <c r="D459" t="s">
        <v>1105</v>
      </c>
      <c r="E459" t="s">
        <v>30</v>
      </c>
      <c r="F459">
        <v>228</v>
      </c>
      <c r="G459">
        <v>121</v>
      </c>
      <c r="H459" t="s">
        <v>1106</v>
      </c>
      <c r="I459" t="s">
        <v>20</v>
      </c>
      <c r="J459">
        <v>228</v>
      </c>
    </row>
    <row r="460" spans="1:10" x14ac:dyDescent="0.35">
      <c r="A460">
        <v>30081</v>
      </c>
      <c r="B460" t="s">
        <v>1102</v>
      </c>
      <c r="C460" t="s">
        <v>33</v>
      </c>
      <c r="D460" t="s">
        <v>1107</v>
      </c>
      <c r="E460" t="s">
        <v>30</v>
      </c>
      <c r="F460">
        <v>228</v>
      </c>
      <c r="G460">
        <v>121</v>
      </c>
      <c r="H460" t="s">
        <v>1108</v>
      </c>
      <c r="I460" t="s">
        <v>20</v>
      </c>
      <c r="J460">
        <v>228</v>
      </c>
    </row>
    <row r="461" spans="1:10" x14ac:dyDescent="0.35">
      <c r="A461">
        <v>46829</v>
      </c>
      <c r="B461" t="s">
        <v>1109</v>
      </c>
      <c r="C461" t="s">
        <v>11</v>
      </c>
      <c r="D461" t="s">
        <v>1110</v>
      </c>
      <c r="E461" t="s">
        <v>39</v>
      </c>
      <c r="F461">
        <v>242</v>
      </c>
      <c r="G461">
        <v>123</v>
      </c>
      <c r="H461" t="s">
        <v>1111</v>
      </c>
      <c r="I461" t="s">
        <v>20</v>
      </c>
      <c r="J461">
        <v>242</v>
      </c>
    </row>
    <row r="462" spans="1:10" x14ac:dyDescent="0.35">
      <c r="A462">
        <v>46829</v>
      </c>
      <c r="B462" t="s">
        <v>1109</v>
      </c>
      <c r="C462" t="s">
        <v>25</v>
      </c>
      <c r="D462" t="s">
        <v>1112</v>
      </c>
      <c r="E462" t="s">
        <v>39</v>
      </c>
      <c r="F462">
        <v>242</v>
      </c>
      <c r="G462">
        <v>123</v>
      </c>
      <c r="H462" t="s">
        <v>1111</v>
      </c>
      <c r="I462" t="s">
        <v>20</v>
      </c>
      <c r="J462">
        <v>242</v>
      </c>
    </row>
    <row r="463" spans="1:10" x14ac:dyDescent="0.35">
      <c r="A463">
        <v>5357489</v>
      </c>
      <c r="B463" t="s">
        <v>1113</v>
      </c>
      <c r="C463" t="s">
        <v>25</v>
      </c>
      <c r="D463" t="s">
        <v>1114</v>
      </c>
      <c r="E463" t="s">
        <v>13</v>
      </c>
      <c r="F463">
        <v>42</v>
      </c>
      <c r="G463">
        <v>21</v>
      </c>
      <c r="H463" t="s">
        <v>955</v>
      </c>
      <c r="I463" t="s">
        <v>15</v>
      </c>
      <c r="J463">
        <v>42</v>
      </c>
    </row>
    <row r="464" spans="1:10" x14ac:dyDescent="0.35">
      <c r="A464">
        <v>5357489</v>
      </c>
      <c r="B464" t="s">
        <v>1113</v>
      </c>
      <c r="C464" t="s">
        <v>11</v>
      </c>
      <c r="D464" t="s">
        <v>1115</v>
      </c>
      <c r="E464" t="s">
        <v>13</v>
      </c>
      <c r="F464">
        <v>42</v>
      </c>
      <c r="G464">
        <v>21</v>
      </c>
      <c r="H464" t="s">
        <v>955</v>
      </c>
      <c r="I464" t="s">
        <v>15</v>
      </c>
      <c r="J464">
        <v>42</v>
      </c>
    </row>
    <row r="465" spans="1:10" x14ac:dyDescent="0.35">
      <c r="B465" t="s">
        <v>1116</v>
      </c>
      <c r="C465" t="s">
        <v>25</v>
      </c>
      <c r="D465" t="s">
        <v>1117</v>
      </c>
      <c r="E465" t="s">
        <v>1043</v>
      </c>
      <c r="F465">
        <v>76</v>
      </c>
      <c r="G465">
        <v>38</v>
      </c>
      <c r="H465" t="s">
        <v>1118</v>
      </c>
      <c r="I465" t="s">
        <v>15</v>
      </c>
      <c r="J465">
        <v>76</v>
      </c>
    </row>
    <row r="466" spans="1:10" x14ac:dyDescent="0.35">
      <c r="B466" t="s">
        <v>1116</v>
      </c>
      <c r="C466" t="s">
        <v>11</v>
      </c>
      <c r="D466" t="s">
        <v>1119</v>
      </c>
      <c r="E466" t="s">
        <v>1043</v>
      </c>
      <c r="F466">
        <v>76</v>
      </c>
      <c r="G466">
        <v>38</v>
      </c>
      <c r="H466" t="s">
        <v>1118</v>
      </c>
      <c r="I466" t="s">
        <v>15</v>
      </c>
      <c r="J466">
        <v>76</v>
      </c>
    </row>
    <row r="467" spans="1:10" x14ac:dyDescent="0.35">
      <c r="A467">
        <v>5403715</v>
      </c>
      <c r="B467" t="s">
        <v>1120</v>
      </c>
      <c r="C467" t="s">
        <v>11</v>
      </c>
      <c r="D467" t="s">
        <v>1121</v>
      </c>
      <c r="E467" t="s">
        <v>108</v>
      </c>
      <c r="F467">
        <v>142</v>
      </c>
      <c r="G467">
        <v>71</v>
      </c>
      <c r="H467" t="s">
        <v>1122</v>
      </c>
      <c r="I467" t="s">
        <v>15</v>
      </c>
      <c r="J467">
        <v>142</v>
      </c>
    </row>
    <row r="468" spans="1:10" x14ac:dyDescent="0.35">
      <c r="B468" t="s">
        <v>1123</v>
      </c>
      <c r="C468" t="s">
        <v>11</v>
      </c>
      <c r="D468" t="s">
        <v>1124</v>
      </c>
      <c r="E468" t="s">
        <v>13</v>
      </c>
      <c r="F468">
        <v>48</v>
      </c>
      <c r="G468">
        <v>24</v>
      </c>
      <c r="H468" t="s">
        <v>996</v>
      </c>
      <c r="I468" t="s">
        <v>15</v>
      </c>
      <c r="J468">
        <v>48</v>
      </c>
    </row>
    <row r="469" spans="1:10" x14ac:dyDescent="0.35">
      <c r="A469">
        <v>6143725</v>
      </c>
      <c r="B469" t="s">
        <v>1125</v>
      </c>
      <c r="C469" t="s">
        <v>25</v>
      </c>
      <c r="D469" t="s">
        <v>1126</v>
      </c>
      <c r="E469" t="s">
        <v>108</v>
      </c>
      <c r="F469">
        <v>100</v>
      </c>
      <c r="G469">
        <v>63</v>
      </c>
      <c r="H469" t="s">
        <v>1088</v>
      </c>
      <c r="I469" t="s">
        <v>15</v>
      </c>
      <c r="J469">
        <v>100</v>
      </c>
    </row>
    <row r="470" spans="1:10" x14ac:dyDescent="0.35">
      <c r="A470">
        <v>6143725</v>
      </c>
      <c r="B470" t="s">
        <v>1125</v>
      </c>
      <c r="C470" t="s">
        <v>11</v>
      </c>
      <c r="D470" t="s">
        <v>1127</v>
      </c>
      <c r="E470" t="s">
        <v>108</v>
      </c>
      <c r="F470">
        <v>100</v>
      </c>
      <c r="G470">
        <v>63</v>
      </c>
      <c r="H470" t="s">
        <v>1088</v>
      </c>
      <c r="I470" t="s">
        <v>15</v>
      </c>
      <c r="J470">
        <v>100</v>
      </c>
    </row>
    <row r="471" spans="1:10" x14ac:dyDescent="0.35">
      <c r="A471">
        <v>5925908</v>
      </c>
      <c r="B471" t="s">
        <v>1128</v>
      </c>
      <c r="C471" t="s">
        <v>33</v>
      </c>
      <c r="D471" t="s">
        <v>1129</v>
      </c>
      <c r="E471" t="s">
        <v>108</v>
      </c>
      <c r="F471">
        <v>122</v>
      </c>
      <c r="G471">
        <v>63</v>
      </c>
      <c r="H471" t="s">
        <v>1130</v>
      </c>
      <c r="I471" t="s">
        <v>15</v>
      </c>
      <c r="J471">
        <v>122</v>
      </c>
    </row>
    <row r="472" spans="1:10" x14ac:dyDescent="0.35">
      <c r="A472">
        <v>5925908</v>
      </c>
      <c r="B472" t="s">
        <v>1128</v>
      </c>
      <c r="C472" t="s">
        <v>25</v>
      </c>
      <c r="D472" t="s">
        <v>1131</v>
      </c>
      <c r="E472" t="s">
        <v>108</v>
      </c>
      <c r="F472">
        <v>122</v>
      </c>
      <c r="G472">
        <v>63</v>
      </c>
      <c r="H472" t="s">
        <v>1130</v>
      </c>
      <c r="I472" t="s">
        <v>15</v>
      </c>
      <c r="J472">
        <v>122</v>
      </c>
    </row>
    <row r="473" spans="1:10" x14ac:dyDescent="0.35">
      <c r="A473">
        <v>5925908</v>
      </c>
      <c r="B473" t="s">
        <v>1128</v>
      </c>
      <c r="C473" t="s">
        <v>11</v>
      </c>
      <c r="D473" t="s">
        <v>1132</v>
      </c>
      <c r="E473" t="s">
        <v>108</v>
      </c>
      <c r="F473">
        <v>122</v>
      </c>
      <c r="G473">
        <v>63</v>
      </c>
      <c r="H473" t="s">
        <v>1130</v>
      </c>
      <c r="I473" t="s">
        <v>15</v>
      </c>
      <c r="J473">
        <v>122</v>
      </c>
    </row>
    <row r="474" spans="1:10" x14ac:dyDescent="0.35">
      <c r="A474">
        <v>6074928</v>
      </c>
      <c r="B474" t="s">
        <v>1133</v>
      </c>
      <c r="C474" t="s">
        <v>72</v>
      </c>
      <c r="D474" t="s">
        <v>1134</v>
      </c>
      <c r="E474" t="s">
        <v>915</v>
      </c>
      <c r="F474">
        <v>108</v>
      </c>
      <c r="G474">
        <v>54</v>
      </c>
      <c r="H474" t="s">
        <v>1135</v>
      </c>
      <c r="I474" t="s">
        <v>15</v>
      </c>
      <c r="J474">
        <v>108</v>
      </c>
    </row>
    <row r="475" spans="1:10" x14ac:dyDescent="0.35">
      <c r="A475">
        <v>6074928</v>
      </c>
      <c r="B475" t="s">
        <v>1133</v>
      </c>
      <c r="C475" t="s">
        <v>33</v>
      </c>
      <c r="D475" t="s">
        <v>1136</v>
      </c>
      <c r="E475" t="s">
        <v>915</v>
      </c>
      <c r="F475">
        <v>108</v>
      </c>
      <c r="G475">
        <v>54</v>
      </c>
      <c r="H475" t="s">
        <v>1135</v>
      </c>
      <c r="I475" t="s">
        <v>15</v>
      </c>
      <c r="J475">
        <v>108</v>
      </c>
    </row>
    <row r="476" spans="1:10" x14ac:dyDescent="0.35">
      <c r="A476">
        <v>6074928</v>
      </c>
      <c r="B476" t="s">
        <v>1133</v>
      </c>
      <c r="C476" t="s">
        <v>25</v>
      </c>
      <c r="D476" t="s">
        <v>1137</v>
      </c>
      <c r="E476" t="s">
        <v>915</v>
      </c>
      <c r="F476">
        <v>108</v>
      </c>
      <c r="G476">
        <v>54</v>
      </c>
      <c r="H476" t="s">
        <v>1135</v>
      </c>
      <c r="I476" t="s">
        <v>15</v>
      </c>
      <c r="J476">
        <v>108</v>
      </c>
    </row>
    <row r="477" spans="1:10" x14ac:dyDescent="0.35">
      <c r="A477">
        <v>6074928</v>
      </c>
      <c r="B477" t="s">
        <v>1133</v>
      </c>
      <c r="C477" t="s">
        <v>11</v>
      </c>
      <c r="D477" t="s">
        <v>1138</v>
      </c>
      <c r="E477" t="s">
        <v>915</v>
      </c>
      <c r="F477">
        <v>108</v>
      </c>
      <c r="G477">
        <v>54</v>
      </c>
      <c r="H477" t="s">
        <v>1135</v>
      </c>
      <c r="I477" t="s">
        <v>15</v>
      </c>
      <c r="J477">
        <v>108</v>
      </c>
    </row>
    <row r="478" spans="1:10" x14ac:dyDescent="0.35">
      <c r="A478">
        <v>30222</v>
      </c>
      <c r="B478" t="s">
        <v>1139</v>
      </c>
      <c r="C478" t="s">
        <v>25</v>
      </c>
      <c r="D478" t="s">
        <v>1140</v>
      </c>
      <c r="E478" t="s">
        <v>39</v>
      </c>
      <c r="F478">
        <v>210</v>
      </c>
      <c r="G478">
        <v>106</v>
      </c>
      <c r="H478" t="s">
        <v>1141</v>
      </c>
      <c r="I478" t="s">
        <v>20</v>
      </c>
      <c r="J478">
        <v>210</v>
      </c>
    </row>
    <row r="479" spans="1:10" x14ac:dyDescent="0.35">
      <c r="A479">
        <v>30222</v>
      </c>
      <c r="B479" t="s">
        <v>1139</v>
      </c>
      <c r="C479" t="s">
        <v>11</v>
      </c>
      <c r="D479" t="s">
        <v>1142</v>
      </c>
      <c r="E479" t="s">
        <v>39</v>
      </c>
      <c r="F479">
        <v>210</v>
      </c>
      <c r="G479">
        <v>106</v>
      </c>
      <c r="H479" t="s">
        <v>1143</v>
      </c>
      <c r="I479" t="s">
        <v>20</v>
      </c>
      <c r="J479">
        <v>210</v>
      </c>
    </row>
    <row r="480" spans="1:10" x14ac:dyDescent="0.35">
      <c r="B480" t="s">
        <v>1144</v>
      </c>
      <c r="C480" t="s">
        <v>11</v>
      </c>
      <c r="D480" t="s">
        <v>1145</v>
      </c>
      <c r="E480" t="s">
        <v>108</v>
      </c>
      <c r="F480">
        <v>139</v>
      </c>
      <c r="G480">
        <v>70</v>
      </c>
      <c r="H480" t="s">
        <v>1146</v>
      </c>
      <c r="I480" t="s">
        <v>15</v>
      </c>
      <c r="J480">
        <v>139</v>
      </c>
    </row>
    <row r="481" spans="1:10" x14ac:dyDescent="0.35">
      <c r="B481" t="s">
        <v>1144</v>
      </c>
      <c r="C481" t="s">
        <v>25</v>
      </c>
      <c r="D481" t="s">
        <v>1147</v>
      </c>
      <c r="E481" t="s">
        <v>108</v>
      </c>
      <c r="F481">
        <v>139</v>
      </c>
      <c r="G481">
        <v>70</v>
      </c>
      <c r="H481" t="s">
        <v>1146</v>
      </c>
      <c r="I481" t="s">
        <v>15</v>
      </c>
      <c r="J481">
        <v>139</v>
      </c>
    </row>
    <row r="482" spans="1:10" x14ac:dyDescent="0.35">
      <c r="A482">
        <v>29907</v>
      </c>
      <c r="B482" t="s">
        <v>1148</v>
      </c>
      <c r="C482" t="s">
        <v>72</v>
      </c>
      <c r="D482" t="s">
        <v>1149</v>
      </c>
      <c r="E482" t="s">
        <v>39</v>
      </c>
      <c r="F482">
        <v>240</v>
      </c>
      <c r="G482">
        <v>117</v>
      </c>
      <c r="H482" t="s">
        <v>1150</v>
      </c>
      <c r="I482" t="s">
        <v>20</v>
      </c>
      <c r="J482">
        <v>240</v>
      </c>
    </row>
    <row r="483" spans="1:10" x14ac:dyDescent="0.35">
      <c r="A483">
        <v>6354475</v>
      </c>
      <c r="B483" t="s">
        <v>1151</v>
      </c>
      <c r="C483" t="s">
        <v>11</v>
      </c>
      <c r="D483" t="s">
        <v>1152</v>
      </c>
      <c r="E483" t="s">
        <v>1043</v>
      </c>
      <c r="F483">
        <v>76</v>
      </c>
      <c r="G483">
        <v>38</v>
      </c>
      <c r="H483" t="s">
        <v>1118</v>
      </c>
      <c r="I483" t="s">
        <v>15</v>
      </c>
      <c r="J483">
        <v>76</v>
      </c>
    </row>
    <row r="484" spans="1:10" x14ac:dyDescent="0.35">
      <c r="A484">
        <v>6354475</v>
      </c>
      <c r="B484" t="s">
        <v>1151</v>
      </c>
      <c r="C484" t="s">
        <v>25</v>
      </c>
      <c r="D484" t="s">
        <v>1153</v>
      </c>
      <c r="E484" t="s">
        <v>1043</v>
      </c>
      <c r="F484">
        <v>76</v>
      </c>
      <c r="G484">
        <v>38</v>
      </c>
      <c r="H484" t="s">
        <v>1118</v>
      </c>
      <c r="I484" t="s">
        <v>15</v>
      </c>
      <c r="J484">
        <v>76</v>
      </c>
    </row>
    <row r="485" spans="1:10" x14ac:dyDescent="0.35">
      <c r="B485" t="s">
        <v>1154</v>
      </c>
      <c r="C485" t="s">
        <v>25</v>
      </c>
      <c r="D485" t="s">
        <v>1155</v>
      </c>
      <c r="E485" t="s">
        <v>13</v>
      </c>
      <c r="F485">
        <v>72</v>
      </c>
      <c r="G485">
        <v>36</v>
      </c>
      <c r="H485" t="s">
        <v>1156</v>
      </c>
      <c r="I485" t="s">
        <v>15</v>
      </c>
      <c r="J485">
        <v>72</v>
      </c>
    </row>
    <row r="486" spans="1:10" x14ac:dyDescent="0.35">
      <c r="B486" t="s">
        <v>1154</v>
      </c>
      <c r="C486" t="s">
        <v>11</v>
      </c>
      <c r="D486" t="s">
        <v>1157</v>
      </c>
      <c r="E486" t="s">
        <v>13</v>
      </c>
      <c r="F486">
        <v>72</v>
      </c>
      <c r="G486">
        <v>36</v>
      </c>
      <c r="H486" t="s">
        <v>1156</v>
      </c>
      <c r="I486" t="s">
        <v>15</v>
      </c>
      <c r="J486">
        <v>72</v>
      </c>
    </row>
    <row r="487" spans="1:10" x14ac:dyDescent="0.35">
      <c r="B487" t="s">
        <v>1154</v>
      </c>
      <c r="C487" t="s">
        <v>33</v>
      </c>
      <c r="D487" t="s">
        <v>1158</v>
      </c>
      <c r="E487" t="s">
        <v>13</v>
      </c>
      <c r="F487">
        <v>72</v>
      </c>
      <c r="G487">
        <v>36</v>
      </c>
      <c r="H487" t="s">
        <v>1156</v>
      </c>
      <c r="I487" t="s">
        <v>15</v>
      </c>
      <c r="J487">
        <v>72</v>
      </c>
    </row>
    <row r="488" spans="1:10" x14ac:dyDescent="0.35">
      <c r="A488">
        <v>5726271</v>
      </c>
      <c r="B488" t="s">
        <v>1159</v>
      </c>
      <c r="C488" t="s">
        <v>25</v>
      </c>
      <c r="D488" t="s">
        <v>1160</v>
      </c>
      <c r="E488" t="s">
        <v>1043</v>
      </c>
      <c r="F488">
        <v>70</v>
      </c>
      <c r="G488">
        <v>37</v>
      </c>
      <c r="H488" t="s">
        <v>1161</v>
      </c>
      <c r="I488" t="s">
        <v>15</v>
      </c>
      <c r="J488">
        <v>70</v>
      </c>
    </row>
    <row r="489" spans="1:10" x14ac:dyDescent="0.35">
      <c r="A489">
        <v>5726271</v>
      </c>
      <c r="B489" t="s">
        <v>1159</v>
      </c>
      <c r="C489" t="s">
        <v>11</v>
      </c>
      <c r="D489" t="s">
        <v>1162</v>
      </c>
      <c r="E489" t="s">
        <v>1043</v>
      </c>
      <c r="F489">
        <v>70</v>
      </c>
      <c r="G489">
        <v>37</v>
      </c>
      <c r="H489" t="s">
        <v>1161</v>
      </c>
      <c r="I489" t="s">
        <v>15</v>
      </c>
      <c r="J489">
        <v>70</v>
      </c>
    </row>
    <row r="490" spans="1:10" x14ac:dyDescent="0.35">
      <c r="A490">
        <v>686280</v>
      </c>
      <c r="B490" t="s">
        <v>1163</v>
      </c>
      <c r="C490" t="s">
        <v>11</v>
      </c>
      <c r="D490" t="s">
        <v>1164</v>
      </c>
      <c r="E490" t="s">
        <v>70</v>
      </c>
      <c r="F490">
        <v>192</v>
      </c>
      <c r="G490">
        <v>107</v>
      </c>
      <c r="H490" t="s">
        <v>1165</v>
      </c>
      <c r="I490" t="s">
        <v>15</v>
      </c>
      <c r="J490">
        <v>192</v>
      </c>
    </row>
    <row r="491" spans="1:10" x14ac:dyDescent="0.35">
      <c r="A491">
        <v>686280</v>
      </c>
      <c r="B491" t="s">
        <v>1163</v>
      </c>
      <c r="C491" t="s">
        <v>214</v>
      </c>
      <c r="D491" t="s">
        <v>1166</v>
      </c>
      <c r="E491" t="s">
        <v>70</v>
      </c>
      <c r="F491">
        <v>192</v>
      </c>
      <c r="G491">
        <v>107</v>
      </c>
      <c r="H491" t="s">
        <v>1165</v>
      </c>
      <c r="I491" t="s">
        <v>15</v>
      </c>
      <c r="J491">
        <v>192</v>
      </c>
    </row>
    <row r="492" spans="1:10" x14ac:dyDescent="0.35">
      <c r="A492">
        <v>686280</v>
      </c>
      <c r="B492" t="s">
        <v>1163</v>
      </c>
      <c r="C492" t="s">
        <v>65</v>
      </c>
      <c r="D492" t="s">
        <v>1167</v>
      </c>
      <c r="E492" t="s">
        <v>70</v>
      </c>
      <c r="F492">
        <v>192</v>
      </c>
      <c r="G492">
        <v>107</v>
      </c>
      <c r="H492" t="s">
        <v>1165</v>
      </c>
      <c r="I492" t="s">
        <v>15</v>
      </c>
      <c r="J492">
        <v>192</v>
      </c>
    </row>
    <row r="493" spans="1:10" x14ac:dyDescent="0.35">
      <c r="A493">
        <v>686280</v>
      </c>
      <c r="B493" t="s">
        <v>1163</v>
      </c>
      <c r="C493" t="s">
        <v>72</v>
      </c>
      <c r="D493" t="s">
        <v>1168</v>
      </c>
      <c r="E493" t="s">
        <v>70</v>
      </c>
      <c r="F493">
        <v>192</v>
      </c>
      <c r="G493">
        <v>107</v>
      </c>
      <c r="H493" t="s">
        <v>1165</v>
      </c>
      <c r="I493" t="s">
        <v>15</v>
      </c>
      <c r="J493">
        <v>192</v>
      </c>
    </row>
    <row r="494" spans="1:10" x14ac:dyDescent="0.35">
      <c r="A494">
        <v>686280</v>
      </c>
      <c r="B494" t="s">
        <v>1163</v>
      </c>
      <c r="C494" t="s">
        <v>33</v>
      </c>
      <c r="D494" t="s">
        <v>1169</v>
      </c>
      <c r="E494" t="s">
        <v>70</v>
      </c>
      <c r="F494">
        <v>192</v>
      </c>
      <c r="G494">
        <v>107</v>
      </c>
      <c r="H494" t="s">
        <v>1170</v>
      </c>
      <c r="I494" t="s">
        <v>15</v>
      </c>
      <c r="J494">
        <v>192</v>
      </c>
    </row>
    <row r="495" spans="1:10" x14ac:dyDescent="0.35">
      <c r="A495">
        <v>686280</v>
      </c>
      <c r="B495" t="s">
        <v>1163</v>
      </c>
      <c r="C495" t="s">
        <v>25</v>
      </c>
      <c r="D495" t="s">
        <v>1171</v>
      </c>
      <c r="E495" t="s">
        <v>70</v>
      </c>
      <c r="F495">
        <v>192</v>
      </c>
      <c r="G495">
        <v>107</v>
      </c>
      <c r="H495" s="1" t="s">
        <v>1165</v>
      </c>
      <c r="I495" t="s">
        <v>15</v>
      </c>
      <c r="J495">
        <v>192</v>
      </c>
    </row>
    <row r="496" spans="1:10" x14ac:dyDescent="0.35">
      <c r="A496">
        <v>6215394</v>
      </c>
      <c r="B496" t="s">
        <v>1172</v>
      </c>
      <c r="C496" t="s">
        <v>11</v>
      </c>
      <c r="D496" t="s">
        <v>1173</v>
      </c>
      <c r="E496" t="s">
        <v>167</v>
      </c>
      <c r="F496">
        <v>178</v>
      </c>
      <c r="G496">
        <v>90</v>
      </c>
      <c r="H496" t="s">
        <v>1174</v>
      </c>
      <c r="I496" t="s">
        <v>15</v>
      </c>
      <c r="J496">
        <v>178</v>
      </c>
    </row>
    <row r="497" spans="1:10" x14ac:dyDescent="0.35">
      <c r="A497">
        <v>6215394</v>
      </c>
      <c r="B497" t="s">
        <v>1172</v>
      </c>
      <c r="C497" t="s">
        <v>25</v>
      </c>
      <c r="D497" t="s">
        <v>1175</v>
      </c>
      <c r="E497" t="s">
        <v>167</v>
      </c>
      <c r="F497">
        <v>178</v>
      </c>
      <c r="G497">
        <v>90</v>
      </c>
      <c r="H497" t="s">
        <v>1174</v>
      </c>
      <c r="I497" t="s">
        <v>15</v>
      </c>
      <c r="J497">
        <v>178</v>
      </c>
    </row>
    <row r="498" spans="1:10" x14ac:dyDescent="0.35">
      <c r="B498" t="s">
        <v>1176</v>
      </c>
      <c r="C498" t="s">
        <v>11</v>
      </c>
      <c r="D498" t="s">
        <v>1177</v>
      </c>
      <c r="E498" t="s">
        <v>247</v>
      </c>
      <c r="F498">
        <v>386</v>
      </c>
      <c r="G498">
        <v>193</v>
      </c>
      <c r="H498" t="s">
        <v>1178</v>
      </c>
      <c r="I498" t="s">
        <v>20</v>
      </c>
    </row>
    <row r="499" spans="1:10" x14ac:dyDescent="0.35">
      <c r="B499" t="s">
        <v>1176</v>
      </c>
      <c r="C499" t="s">
        <v>25</v>
      </c>
      <c r="D499" t="s">
        <v>1179</v>
      </c>
      <c r="E499" t="s">
        <v>247</v>
      </c>
      <c r="F499">
        <v>386</v>
      </c>
      <c r="G499">
        <v>193</v>
      </c>
      <c r="H499" t="s">
        <v>1180</v>
      </c>
      <c r="I499" t="s">
        <v>20</v>
      </c>
    </row>
    <row r="500" spans="1:10" x14ac:dyDescent="0.35">
      <c r="A500">
        <v>6159508</v>
      </c>
      <c r="B500" t="s">
        <v>1181</v>
      </c>
      <c r="C500" t="s">
        <v>25</v>
      </c>
      <c r="D500" t="s">
        <v>1182</v>
      </c>
      <c r="E500" t="s">
        <v>13</v>
      </c>
      <c r="F500">
        <v>44</v>
      </c>
      <c r="G500">
        <v>22</v>
      </c>
      <c r="H500" t="s">
        <v>1183</v>
      </c>
      <c r="I500" t="s">
        <v>15</v>
      </c>
      <c r="J500">
        <v>44</v>
      </c>
    </row>
    <row r="501" spans="1:10" x14ac:dyDescent="0.35">
      <c r="A501">
        <v>6159508</v>
      </c>
      <c r="B501" t="s">
        <v>1181</v>
      </c>
      <c r="C501" t="s">
        <v>11</v>
      </c>
      <c r="D501" t="s">
        <v>1184</v>
      </c>
      <c r="E501" t="s">
        <v>13</v>
      </c>
      <c r="F501">
        <v>44</v>
      </c>
      <c r="G501">
        <v>22</v>
      </c>
      <c r="H501" t="s">
        <v>1183</v>
      </c>
      <c r="I501" t="s">
        <v>15</v>
      </c>
      <c r="J501">
        <v>44</v>
      </c>
    </row>
    <row r="502" spans="1:10" x14ac:dyDescent="0.35">
      <c r="A502">
        <v>463442</v>
      </c>
      <c r="B502" t="s">
        <v>1185</v>
      </c>
      <c r="C502" t="s">
        <v>11</v>
      </c>
      <c r="D502" t="s">
        <v>1186</v>
      </c>
      <c r="E502" t="s">
        <v>108</v>
      </c>
      <c r="F502">
        <v>138</v>
      </c>
      <c r="G502">
        <v>69</v>
      </c>
      <c r="H502" t="s">
        <v>439</v>
      </c>
      <c r="I502" t="s">
        <v>15</v>
      </c>
      <c r="J502">
        <v>138</v>
      </c>
    </row>
    <row r="503" spans="1:10" x14ac:dyDescent="0.35">
      <c r="A503">
        <v>5160022</v>
      </c>
      <c r="B503" t="s">
        <v>1187</v>
      </c>
      <c r="C503" t="s">
        <v>25</v>
      </c>
      <c r="D503" t="s">
        <v>1188</v>
      </c>
      <c r="E503" t="s">
        <v>108</v>
      </c>
      <c r="F503">
        <v>128</v>
      </c>
      <c r="G503">
        <v>64</v>
      </c>
      <c r="H503" t="s">
        <v>1189</v>
      </c>
      <c r="I503" t="s">
        <v>15</v>
      </c>
      <c r="J503">
        <v>128</v>
      </c>
    </row>
    <row r="504" spans="1:10" x14ac:dyDescent="0.35">
      <c r="A504">
        <v>5160022</v>
      </c>
      <c r="B504" t="s">
        <v>1187</v>
      </c>
      <c r="C504" t="s">
        <v>11</v>
      </c>
      <c r="D504" t="s">
        <v>1190</v>
      </c>
      <c r="E504" t="s">
        <v>108</v>
      </c>
      <c r="F504">
        <v>128</v>
      </c>
      <c r="G504">
        <v>64</v>
      </c>
      <c r="H504" t="s">
        <v>1189</v>
      </c>
      <c r="I504" t="s">
        <v>15</v>
      </c>
      <c r="J504">
        <v>128</v>
      </c>
    </row>
    <row r="505" spans="1:10" x14ac:dyDescent="0.35">
      <c r="A505">
        <v>5369797</v>
      </c>
      <c r="B505" t="s">
        <v>1191</v>
      </c>
      <c r="C505" t="s">
        <v>11</v>
      </c>
      <c r="D505" t="s">
        <v>1192</v>
      </c>
      <c r="E505" t="s">
        <v>1043</v>
      </c>
      <c r="F505">
        <v>76</v>
      </c>
      <c r="G505">
        <v>39</v>
      </c>
      <c r="H505" t="s">
        <v>1044</v>
      </c>
      <c r="I505" t="s">
        <v>15</v>
      </c>
      <c r="J505">
        <v>76</v>
      </c>
    </row>
    <row r="506" spans="1:10" x14ac:dyDescent="0.35">
      <c r="A506">
        <v>485039</v>
      </c>
      <c r="B506" t="s">
        <v>1193</v>
      </c>
      <c r="C506" t="s">
        <v>11</v>
      </c>
      <c r="D506" t="s">
        <v>1194</v>
      </c>
      <c r="E506" t="s">
        <v>108</v>
      </c>
      <c r="F506">
        <v>152</v>
      </c>
      <c r="G506">
        <v>76</v>
      </c>
      <c r="H506" t="s">
        <v>1195</v>
      </c>
      <c r="I506" t="s">
        <v>15</v>
      </c>
      <c r="J506">
        <v>152</v>
      </c>
    </row>
    <row r="507" spans="1:10" x14ac:dyDescent="0.35">
      <c r="A507">
        <v>485039</v>
      </c>
      <c r="B507" t="s">
        <v>1193</v>
      </c>
      <c r="C507" t="s">
        <v>25</v>
      </c>
      <c r="D507" t="s">
        <v>1196</v>
      </c>
      <c r="E507" t="s">
        <v>108</v>
      </c>
      <c r="F507">
        <v>152</v>
      </c>
      <c r="G507">
        <v>76</v>
      </c>
      <c r="H507" t="s">
        <v>1195</v>
      </c>
      <c r="I507" t="s">
        <v>15</v>
      </c>
      <c r="J507">
        <v>152</v>
      </c>
    </row>
    <row r="508" spans="1:10" x14ac:dyDescent="0.35">
      <c r="A508">
        <v>2342316</v>
      </c>
      <c r="B508" t="s">
        <v>1197</v>
      </c>
      <c r="C508" t="s">
        <v>11</v>
      </c>
      <c r="D508" t="s">
        <v>1198</v>
      </c>
      <c r="E508" t="s">
        <v>108</v>
      </c>
      <c r="F508">
        <v>140</v>
      </c>
      <c r="G508">
        <v>70</v>
      </c>
      <c r="H508" t="s">
        <v>1047</v>
      </c>
      <c r="I508" t="s">
        <v>15</v>
      </c>
      <c r="J508">
        <v>140</v>
      </c>
    </row>
    <row r="509" spans="1:10" x14ac:dyDescent="0.35">
      <c r="A509">
        <v>2342316</v>
      </c>
      <c r="B509" t="s">
        <v>1197</v>
      </c>
      <c r="C509" t="s">
        <v>25</v>
      </c>
      <c r="D509" t="s">
        <v>1199</v>
      </c>
      <c r="E509" t="s">
        <v>108</v>
      </c>
      <c r="F509">
        <v>140</v>
      </c>
      <c r="G509">
        <v>70</v>
      </c>
      <c r="H509" t="s">
        <v>1047</v>
      </c>
      <c r="I509" t="s">
        <v>15</v>
      </c>
      <c r="J509">
        <v>140</v>
      </c>
    </row>
    <row r="510" spans="1:10" x14ac:dyDescent="0.35">
      <c r="A510">
        <v>2342316</v>
      </c>
      <c r="B510" t="s">
        <v>1197</v>
      </c>
      <c r="C510" t="s">
        <v>33</v>
      </c>
      <c r="D510" t="s">
        <v>1200</v>
      </c>
      <c r="E510" t="s">
        <v>108</v>
      </c>
      <c r="F510">
        <v>140</v>
      </c>
      <c r="G510">
        <v>70</v>
      </c>
      <c r="H510" t="s">
        <v>1047</v>
      </c>
      <c r="I510" t="s">
        <v>15</v>
      </c>
      <c r="J510">
        <v>140</v>
      </c>
    </row>
    <row r="511" spans="1:10" x14ac:dyDescent="0.35">
      <c r="A511">
        <v>2342316</v>
      </c>
      <c r="B511" t="s">
        <v>1197</v>
      </c>
      <c r="C511" t="s">
        <v>72</v>
      </c>
      <c r="D511" t="s">
        <v>1201</v>
      </c>
      <c r="E511" t="s">
        <v>108</v>
      </c>
      <c r="F511">
        <v>140</v>
      </c>
      <c r="G511">
        <v>70</v>
      </c>
      <c r="H511" t="s">
        <v>1047</v>
      </c>
      <c r="I511" t="s">
        <v>15</v>
      </c>
      <c r="J511">
        <v>140</v>
      </c>
    </row>
    <row r="512" spans="1:10" x14ac:dyDescent="0.35">
      <c r="A512">
        <v>2342316</v>
      </c>
      <c r="B512" t="s">
        <v>1197</v>
      </c>
      <c r="C512" t="s">
        <v>65</v>
      </c>
      <c r="D512" t="s">
        <v>1202</v>
      </c>
      <c r="E512" t="s">
        <v>108</v>
      </c>
      <c r="F512">
        <v>140</v>
      </c>
      <c r="G512">
        <v>70</v>
      </c>
      <c r="H512" t="s">
        <v>1047</v>
      </c>
      <c r="I512" t="s">
        <v>15</v>
      </c>
      <c r="J512">
        <v>140</v>
      </c>
    </row>
    <row r="513" spans="1:10" x14ac:dyDescent="0.35">
      <c r="A513">
        <v>2342316</v>
      </c>
      <c r="B513" t="s">
        <v>1197</v>
      </c>
      <c r="C513" t="s">
        <v>214</v>
      </c>
      <c r="D513" t="s">
        <v>1203</v>
      </c>
      <c r="E513" t="s">
        <v>108</v>
      </c>
      <c r="F513">
        <v>140</v>
      </c>
      <c r="G513">
        <v>70</v>
      </c>
      <c r="H513" t="s">
        <v>1047</v>
      </c>
      <c r="I513" t="s">
        <v>15</v>
      </c>
      <c r="J513">
        <v>140</v>
      </c>
    </row>
    <row r="514" spans="1:10" x14ac:dyDescent="0.35">
      <c r="A514">
        <v>2342316</v>
      </c>
      <c r="B514" t="s">
        <v>1197</v>
      </c>
      <c r="C514" t="s">
        <v>158</v>
      </c>
      <c r="D514" t="s">
        <v>1204</v>
      </c>
      <c r="E514" t="s">
        <v>108</v>
      </c>
      <c r="F514">
        <v>140</v>
      </c>
      <c r="G514">
        <v>70</v>
      </c>
      <c r="H514" t="s">
        <v>1047</v>
      </c>
      <c r="I514" t="s">
        <v>15</v>
      </c>
      <c r="J514">
        <v>140</v>
      </c>
    </row>
    <row r="515" spans="1:10" x14ac:dyDescent="0.35">
      <c r="A515">
        <v>2342316</v>
      </c>
      <c r="B515" t="s">
        <v>1197</v>
      </c>
      <c r="C515" t="s">
        <v>253</v>
      </c>
      <c r="D515" t="s">
        <v>1205</v>
      </c>
      <c r="E515" t="s">
        <v>108</v>
      </c>
      <c r="F515">
        <v>140</v>
      </c>
      <c r="G515">
        <v>70</v>
      </c>
      <c r="H515" t="s">
        <v>1047</v>
      </c>
      <c r="I515" t="s">
        <v>15</v>
      </c>
      <c r="J515">
        <v>140</v>
      </c>
    </row>
    <row r="516" spans="1:10" x14ac:dyDescent="0.35">
      <c r="A516">
        <v>2251124</v>
      </c>
      <c r="B516" t="s">
        <v>1206</v>
      </c>
      <c r="C516" t="s">
        <v>11</v>
      </c>
      <c r="D516" t="s">
        <v>1207</v>
      </c>
      <c r="E516" t="s">
        <v>108</v>
      </c>
      <c r="F516">
        <v>126</v>
      </c>
      <c r="G516">
        <v>63</v>
      </c>
      <c r="H516" t="s">
        <v>1208</v>
      </c>
      <c r="I516" t="s">
        <v>15</v>
      </c>
      <c r="J516">
        <v>126</v>
      </c>
    </row>
    <row r="517" spans="1:10" x14ac:dyDescent="0.35">
      <c r="A517">
        <v>2251124</v>
      </c>
      <c r="B517" t="s">
        <v>1206</v>
      </c>
      <c r="C517" t="s">
        <v>72</v>
      </c>
      <c r="D517" t="s">
        <v>1209</v>
      </c>
      <c r="E517" t="s">
        <v>108</v>
      </c>
      <c r="F517">
        <v>126</v>
      </c>
      <c r="G517">
        <v>63</v>
      </c>
      <c r="H517" t="s">
        <v>1208</v>
      </c>
      <c r="I517" t="s">
        <v>15</v>
      </c>
      <c r="J517">
        <v>126</v>
      </c>
    </row>
    <row r="518" spans="1:10" x14ac:dyDescent="0.35">
      <c r="A518">
        <v>2251124</v>
      </c>
      <c r="B518" t="s">
        <v>1206</v>
      </c>
      <c r="C518" t="s">
        <v>25</v>
      </c>
      <c r="D518" t="s">
        <v>1210</v>
      </c>
      <c r="E518" t="s">
        <v>108</v>
      </c>
      <c r="F518">
        <v>126</v>
      </c>
      <c r="G518">
        <v>63</v>
      </c>
      <c r="H518" t="s">
        <v>1208</v>
      </c>
      <c r="I518" t="s">
        <v>15</v>
      </c>
      <c r="J518">
        <v>126</v>
      </c>
    </row>
    <row r="519" spans="1:10" x14ac:dyDescent="0.35">
      <c r="A519">
        <v>2251124</v>
      </c>
      <c r="B519" t="s">
        <v>1206</v>
      </c>
      <c r="C519" t="s">
        <v>33</v>
      </c>
      <c r="D519" t="s">
        <v>1211</v>
      </c>
      <c r="E519" t="s">
        <v>108</v>
      </c>
      <c r="F519">
        <v>126</v>
      </c>
      <c r="G519">
        <v>63</v>
      </c>
      <c r="H519" t="s">
        <v>1208</v>
      </c>
      <c r="I519" t="s">
        <v>15</v>
      </c>
      <c r="J519">
        <v>126</v>
      </c>
    </row>
    <row r="520" spans="1:10" x14ac:dyDescent="0.35">
      <c r="A520">
        <v>5854768</v>
      </c>
      <c r="B520" t="s">
        <v>1212</v>
      </c>
      <c r="C520" t="s">
        <v>11</v>
      </c>
      <c r="D520" t="s">
        <v>1213</v>
      </c>
      <c r="E520" t="s">
        <v>70</v>
      </c>
      <c r="F520">
        <v>183</v>
      </c>
      <c r="G520">
        <v>107</v>
      </c>
      <c r="H520" t="s">
        <v>1214</v>
      </c>
      <c r="I520" t="s">
        <v>15</v>
      </c>
      <c r="J520">
        <v>183</v>
      </c>
    </row>
    <row r="521" spans="1:10" x14ac:dyDescent="0.35">
      <c r="B521" t="s">
        <v>1215</v>
      </c>
      <c r="C521" t="s">
        <v>277</v>
      </c>
      <c r="D521" t="s">
        <v>1216</v>
      </c>
      <c r="E521" t="s">
        <v>108</v>
      </c>
      <c r="F521">
        <v>148</v>
      </c>
      <c r="G521">
        <v>74</v>
      </c>
      <c r="H521" t="s">
        <v>1217</v>
      </c>
      <c r="I521" t="s">
        <v>15</v>
      </c>
      <c r="J521">
        <v>148</v>
      </c>
    </row>
    <row r="522" spans="1:10" x14ac:dyDescent="0.35">
      <c r="A522">
        <v>5370540</v>
      </c>
      <c r="B522" t="s">
        <v>1218</v>
      </c>
      <c r="C522" t="s">
        <v>11</v>
      </c>
      <c r="D522" t="s">
        <v>1219</v>
      </c>
      <c r="E522" t="s">
        <v>13</v>
      </c>
      <c r="F522">
        <v>32</v>
      </c>
      <c r="G522">
        <v>17</v>
      </c>
      <c r="H522" t="s">
        <v>1220</v>
      </c>
      <c r="I522" t="s">
        <v>15</v>
      </c>
      <c r="J522">
        <v>32</v>
      </c>
    </row>
    <row r="523" spans="1:10" x14ac:dyDescent="0.35">
      <c r="B523" t="s">
        <v>1215</v>
      </c>
      <c r="C523" t="s">
        <v>281</v>
      </c>
      <c r="D523" t="s">
        <v>1221</v>
      </c>
      <c r="E523" t="s">
        <v>108</v>
      </c>
      <c r="F523">
        <v>148</v>
      </c>
      <c r="G523">
        <v>74</v>
      </c>
      <c r="H523" t="s">
        <v>1217</v>
      </c>
      <c r="I523" t="s">
        <v>15</v>
      </c>
      <c r="J523">
        <v>148</v>
      </c>
    </row>
    <row r="524" spans="1:10" x14ac:dyDescent="0.35">
      <c r="B524" t="s">
        <v>1222</v>
      </c>
      <c r="C524" t="s">
        <v>11</v>
      </c>
      <c r="D524" t="s">
        <v>1223</v>
      </c>
      <c r="E524" t="s">
        <v>59</v>
      </c>
      <c r="F524">
        <v>280</v>
      </c>
      <c r="G524">
        <v>141</v>
      </c>
      <c r="H524" t="s">
        <v>1224</v>
      </c>
      <c r="I524" t="s">
        <v>20</v>
      </c>
    </row>
    <row r="525" spans="1:10" x14ac:dyDescent="0.35">
      <c r="B525" t="s">
        <v>1215</v>
      </c>
      <c r="C525" t="s">
        <v>1225</v>
      </c>
      <c r="D525" t="s">
        <v>1226</v>
      </c>
      <c r="E525" t="s">
        <v>108</v>
      </c>
      <c r="F525">
        <v>148</v>
      </c>
      <c r="G525">
        <v>74</v>
      </c>
      <c r="H525" t="s">
        <v>1217</v>
      </c>
      <c r="I525" t="s">
        <v>15</v>
      </c>
      <c r="J525">
        <v>148</v>
      </c>
    </row>
    <row r="526" spans="1:10" x14ac:dyDescent="0.35">
      <c r="A526">
        <v>6422306</v>
      </c>
      <c r="B526" t="s">
        <v>1227</v>
      </c>
      <c r="C526" t="s">
        <v>11</v>
      </c>
      <c r="D526" t="s">
        <v>1228</v>
      </c>
      <c r="E526" t="s">
        <v>915</v>
      </c>
      <c r="F526">
        <v>102</v>
      </c>
      <c r="G526">
        <v>51</v>
      </c>
      <c r="H526" t="s">
        <v>1229</v>
      </c>
      <c r="I526" t="s">
        <v>15</v>
      </c>
      <c r="J526">
        <v>102</v>
      </c>
    </row>
    <row r="527" spans="1:10" x14ac:dyDescent="0.35">
      <c r="B527" t="s">
        <v>1215</v>
      </c>
      <c r="C527" t="s">
        <v>1230</v>
      </c>
      <c r="D527" t="s">
        <v>1231</v>
      </c>
      <c r="E527" t="s">
        <v>108</v>
      </c>
      <c r="F527">
        <v>148</v>
      </c>
      <c r="G527">
        <v>74</v>
      </c>
      <c r="H527" t="s">
        <v>1217</v>
      </c>
      <c r="I527" t="s">
        <v>15</v>
      </c>
      <c r="J527">
        <v>148</v>
      </c>
    </row>
    <row r="528" spans="1:10" x14ac:dyDescent="0.35">
      <c r="A528">
        <v>6422306</v>
      </c>
      <c r="B528" t="s">
        <v>1227</v>
      </c>
      <c r="C528" t="s">
        <v>25</v>
      </c>
      <c r="D528" t="s">
        <v>1232</v>
      </c>
      <c r="E528" t="s">
        <v>915</v>
      </c>
      <c r="F528">
        <v>102</v>
      </c>
      <c r="G528">
        <v>51</v>
      </c>
      <c r="H528" t="s">
        <v>1229</v>
      </c>
      <c r="I528" t="s">
        <v>15</v>
      </c>
      <c r="J528">
        <v>102</v>
      </c>
    </row>
    <row r="529" spans="1:10" x14ac:dyDescent="0.35">
      <c r="B529" t="s">
        <v>1233</v>
      </c>
      <c r="C529" t="s">
        <v>33</v>
      </c>
      <c r="D529" t="s">
        <v>1234</v>
      </c>
      <c r="E529" t="s">
        <v>23</v>
      </c>
      <c r="F529">
        <v>116</v>
      </c>
      <c r="G529">
        <v>58</v>
      </c>
      <c r="H529" t="s">
        <v>322</v>
      </c>
      <c r="I529" t="s">
        <v>15</v>
      </c>
      <c r="J529">
        <v>116</v>
      </c>
    </row>
    <row r="530" spans="1:10" x14ac:dyDescent="0.35">
      <c r="B530" t="s">
        <v>1233</v>
      </c>
      <c r="C530" t="s">
        <v>72</v>
      </c>
      <c r="D530" t="s">
        <v>1235</v>
      </c>
      <c r="E530" t="s">
        <v>23</v>
      </c>
      <c r="F530">
        <v>116</v>
      </c>
      <c r="G530">
        <v>58</v>
      </c>
      <c r="H530" t="s">
        <v>322</v>
      </c>
      <c r="I530" t="s">
        <v>15</v>
      </c>
      <c r="J530">
        <v>116</v>
      </c>
    </row>
    <row r="531" spans="1:10" x14ac:dyDescent="0.35">
      <c r="B531" t="s">
        <v>1236</v>
      </c>
      <c r="C531" t="s">
        <v>25</v>
      </c>
      <c r="D531" t="s">
        <v>1237</v>
      </c>
      <c r="E531" t="s">
        <v>970</v>
      </c>
      <c r="F531">
        <v>210</v>
      </c>
      <c r="G531">
        <v>105</v>
      </c>
      <c r="H531" t="s">
        <v>1238</v>
      </c>
      <c r="I531" t="s">
        <v>15</v>
      </c>
      <c r="J531">
        <v>210</v>
      </c>
    </row>
    <row r="532" spans="1:10" x14ac:dyDescent="0.35">
      <c r="A532">
        <v>69620</v>
      </c>
      <c r="B532" t="s">
        <v>1239</v>
      </c>
      <c r="C532" t="s">
        <v>277</v>
      </c>
      <c r="D532" t="s">
        <v>1240</v>
      </c>
      <c r="E532" t="s">
        <v>39</v>
      </c>
      <c r="F532">
        <v>202</v>
      </c>
      <c r="G532">
        <v>102</v>
      </c>
      <c r="H532" t="s">
        <v>1241</v>
      </c>
      <c r="I532" t="s">
        <v>20</v>
      </c>
      <c r="J532">
        <v>202</v>
      </c>
    </row>
    <row r="533" spans="1:10" x14ac:dyDescent="0.35">
      <c r="B533" t="s">
        <v>1236</v>
      </c>
      <c r="C533" t="s">
        <v>11</v>
      </c>
      <c r="D533" t="s">
        <v>1242</v>
      </c>
      <c r="E533" t="s">
        <v>970</v>
      </c>
      <c r="F533">
        <v>210</v>
      </c>
      <c r="G533">
        <v>105</v>
      </c>
      <c r="H533" t="s">
        <v>1238</v>
      </c>
      <c r="I533" t="s">
        <v>15</v>
      </c>
      <c r="J533">
        <v>210</v>
      </c>
    </row>
    <row r="534" spans="1:10" x14ac:dyDescent="0.35">
      <c r="A534">
        <v>69620</v>
      </c>
      <c r="B534" t="s">
        <v>1239</v>
      </c>
      <c r="C534" t="s">
        <v>281</v>
      </c>
      <c r="D534" t="s">
        <v>1243</v>
      </c>
      <c r="E534" t="s">
        <v>39</v>
      </c>
      <c r="F534">
        <v>202</v>
      </c>
      <c r="G534">
        <v>102</v>
      </c>
      <c r="H534" t="s">
        <v>1241</v>
      </c>
      <c r="I534" t="s">
        <v>20</v>
      </c>
      <c r="J534">
        <v>202</v>
      </c>
    </row>
    <row r="535" spans="1:10" x14ac:dyDescent="0.35">
      <c r="A535">
        <v>69620</v>
      </c>
      <c r="B535" t="s">
        <v>1239</v>
      </c>
      <c r="C535" t="s">
        <v>1225</v>
      </c>
      <c r="D535" t="s">
        <v>1244</v>
      </c>
      <c r="E535" t="s">
        <v>39</v>
      </c>
      <c r="F535">
        <v>202</v>
      </c>
      <c r="G535">
        <v>102</v>
      </c>
      <c r="H535" t="s">
        <v>1241</v>
      </c>
      <c r="I535" t="s">
        <v>20</v>
      </c>
      <c r="J535">
        <v>202</v>
      </c>
    </row>
    <row r="536" spans="1:10" x14ac:dyDescent="0.35">
      <c r="A536">
        <v>5726247</v>
      </c>
      <c r="B536" t="s">
        <v>1245</v>
      </c>
      <c r="C536" t="s">
        <v>11</v>
      </c>
      <c r="D536" t="s">
        <v>1246</v>
      </c>
      <c r="E536" t="s">
        <v>13</v>
      </c>
      <c r="F536">
        <v>72</v>
      </c>
      <c r="G536">
        <v>37</v>
      </c>
      <c r="H536" t="s">
        <v>1247</v>
      </c>
      <c r="I536" t="s">
        <v>15</v>
      </c>
      <c r="J536">
        <v>72</v>
      </c>
    </row>
    <row r="537" spans="1:10" x14ac:dyDescent="0.35">
      <c r="B537" t="s">
        <v>1248</v>
      </c>
      <c r="C537" t="s">
        <v>11</v>
      </c>
      <c r="D537" t="s">
        <v>1249</v>
      </c>
      <c r="E537" t="s">
        <v>108</v>
      </c>
      <c r="F537">
        <v>137</v>
      </c>
      <c r="G537">
        <v>69</v>
      </c>
      <c r="H537" t="s">
        <v>1250</v>
      </c>
      <c r="I537" t="s">
        <v>15</v>
      </c>
      <c r="J537">
        <v>137</v>
      </c>
    </row>
    <row r="538" spans="1:10" x14ac:dyDescent="0.35">
      <c r="A538">
        <v>4619030</v>
      </c>
      <c r="B538" t="s">
        <v>1251</v>
      </c>
      <c r="C538" t="s">
        <v>11</v>
      </c>
      <c r="D538" t="s">
        <v>1252</v>
      </c>
      <c r="E538" t="s">
        <v>915</v>
      </c>
      <c r="F538">
        <v>97</v>
      </c>
      <c r="G538">
        <v>49</v>
      </c>
      <c r="H538" t="s">
        <v>1002</v>
      </c>
      <c r="I538" t="s">
        <v>15</v>
      </c>
      <c r="J538">
        <v>97</v>
      </c>
    </row>
    <row r="539" spans="1:10" x14ac:dyDescent="0.35">
      <c r="A539">
        <v>5769310</v>
      </c>
      <c r="B539" t="s">
        <v>1253</v>
      </c>
      <c r="C539" t="s">
        <v>11</v>
      </c>
      <c r="D539" t="s">
        <v>1254</v>
      </c>
      <c r="E539" t="s">
        <v>70</v>
      </c>
      <c r="F539">
        <v>220</v>
      </c>
      <c r="G539">
        <v>103</v>
      </c>
      <c r="H539" t="s">
        <v>654</v>
      </c>
      <c r="I539" t="s">
        <v>15</v>
      </c>
      <c r="J539">
        <v>220</v>
      </c>
    </row>
    <row r="540" spans="1:10" x14ac:dyDescent="0.35">
      <c r="A540">
        <v>4886399</v>
      </c>
      <c r="B540" t="s">
        <v>1255</v>
      </c>
      <c r="C540" t="s">
        <v>11</v>
      </c>
      <c r="D540" t="s">
        <v>1256</v>
      </c>
      <c r="E540" t="s">
        <v>108</v>
      </c>
      <c r="F540">
        <v>156</v>
      </c>
      <c r="G540">
        <v>78</v>
      </c>
      <c r="H540" t="s">
        <v>965</v>
      </c>
      <c r="I540" t="s">
        <v>15</v>
      </c>
      <c r="J540">
        <v>156</v>
      </c>
    </row>
    <row r="541" spans="1:10" x14ac:dyDescent="0.35">
      <c r="A541">
        <v>30344</v>
      </c>
      <c r="B541" t="s">
        <v>1257</v>
      </c>
      <c r="C541" t="s">
        <v>33</v>
      </c>
      <c r="D541" t="s">
        <v>1258</v>
      </c>
      <c r="E541" t="s">
        <v>39</v>
      </c>
      <c r="F541">
        <v>208</v>
      </c>
      <c r="G541">
        <v>104</v>
      </c>
      <c r="H541" t="s">
        <v>1259</v>
      </c>
      <c r="I541" t="s">
        <v>20</v>
      </c>
      <c r="J541">
        <v>208</v>
      </c>
    </row>
    <row r="542" spans="1:10" x14ac:dyDescent="0.35">
      <c r="A542">
        <v>30344</v>
      </c>
      <c r="B542" t="s">
        <v>1257</v>
      </c>
      <c r="C542" t="s">
        <v>25</v>
      </c>
      <c r="D542" t="s">
        <v>1260</v>
      </c>
      <c r="E542" t="s">
        <v>39</v>
      </c>
      <c r="F542">
        <v>208</v>
      </c>
      <c r="G542">
        <v>104</v>
      </c>
      <c r="H542" t="s">
        <v>1261</v>
      </c>
      <c r="I542" t="s">
        <v>20</v>
      </c>
      <c r="J542">
        <v>208</v>
      </c>
    </row>
    <row r="543" spans="1:10" x14ac:dyDescent="0.35">
      <c r="A543">
        <v>30344</v>
      </c>
      <c r="B543" t="s">
        <v>1257</v>
      </c>
      <c r="C543" t="s">
        <v>11</v>
      </c>
      <c r="D543" t="s">
        <v>1262</v>
      </c>
      <c r="E543" t="s">
        <v>39</v>
      </c>
      <c r="F543">
        <v>208</v>
      </c>
      <c r="G543">
        <v>104</v>
      </c>
      <c r="H543" t="s">
        <v>1263</v>
      </c>
      <c r="I543" t="s">
        <v>20</v>
      </c>
      <c r="J543">
        <v>208</v>
      </c>
    </row>
    <row r="544" spans="1:10" x14ac:dyDescent="0.35">
      <c r="A544">
        <v>30088</v>
      </c>
      <c r="B544" t="s">
        <v>1264</v>
      </c>
      <c r="C544" t="s">
        <v>11</v>
      </c>
      <c r="D544" t="s">
        <v>1265</v>
      </c>
      <c r="E544" t="s">
        <v>39</v>
      </c>
      <c r="F544">
        <v>242</v>
      </c>
      <c r="G544">
        <v>122</v>
      </c>
      <c r="H544" t="s">
        <v>1266</v>
      </c>
      <c r="I544" t="s">
        <v>20</v>
      </c>
      <c r="J544">
        <v>242</v>
      </c>
    </row>
    <row r="545" spans="1:10" x14ac:dyDescent="0.35">
      <c r="A545">
        <v>5357500</v>
      </c>
      <c r="B545" t="s">
        <v>1267</v>
      </c>
      <c r="C545" t="s">
        <v>11</v>
      </c>
      <c r="D545" t="s">
        <v>1268</v>
      </c>
      <c r="E545" t="s">
        <v>13</v>
      </c>
      <c r="F545">
        <v>20</v>
      </c>
      <c r="G545">
        <v>11</v>
      </c>
      <c r="H545" t="s">
        <v>1269</v>
      </c>
      <c r="I545" t="s">
        <v>15</v>
      </c>
      <c r="J545">
        <v>20</v>
      </c>
    </row>
    <row r="546" spans="1:10" x14ac:dyDescent="0.35">
      <c r="A546">
        <v>29908</v>
      </c>
      <c r="B546" t="s">
        <v>1270</v>
      </c>
      <c r="C546" t="s">
        <v>11</v>
      </c>
      <c r="D546" t="s">
        <v>1271</v>
      </c>
      <c r="E546" t="s">
        <v>39</v>
      </c>
      <c r="F546">
        <v>244</v>
      </c>
      <c r="G546">
        <v>123</v>
      </c>
      <c r="H546" t="s">
        <v>1272</v>
      </c>
      <c r="I546" t="s">
        <v>20</v>
      </c>
      <c r="J546">
        <v>244</v>
      </c>
    </row>
    <row r="547" spans="1:10" x14ac:dyDescent="0.35">
      <c r="A547">
        <v>5369851</v>
      </c>
      <c r="B547" t="s">
        <v>1273</v>
      </c>
      <c r="C547" t="s">
        <v>25</v>
      </c>
      <c r="D547" t="s">
        <v>1274</v>
      </c>
      <c r="E547" t="s">
        <v>23</v>
      </c>
      <c r="F547">
        <v>122</v>
      </c>
      <c r="G547">
        <v>59</v>
      </c>
      <c r="H547" t="s">
        <v>1275</v>
      </c>
      <c r="I547" t="s">
        <v>15</v>
      </c>
      <c r="J547">
        <v>122</v>
      </c>
    </row>
    <row r="548" spans="1:10" x14ac:dyDescent="0.35">
      <c r="A548">
        <v>5369851</v>
      </c>
      <c r="B548" t="s">
        <v>1273</v>
      </c>
      <c r="C548" t="s">
        <v>11</v>
      </c>
      <c r="D548" t="s">
        <v>1276</v>
      </c>
      <c r="E548" t="s">
        <v>23</v>
      </c>
      <c r="F548">
        <v>122</v>
      </c>
      <c r="G548">
        <v>59</v>
      </c>
      <c r="H548" t="s">
        <v>1275</v>
      </c>
      <c r="I548" t="s">
        <v>15</v>
      </c>
      <c r="J548">
        <v>122</v>
      </c>
    </row>
    <row r="549" spans="1:10" x14ac:dyDescent="0.35">
      <c r="A549">
        <v>29906</v>
      </c>
      <c r="B549" t="s">
        <v>1277</v>
      </c>
      <c r="C549" t="s">
        <v>11</v>
      </c>
      <c r="D549" t="s">
        <v>1278</v>
      </c>
      <c r="E549" t="s">
        <v>30</v>
      </c>
      <c r="F549">
        <v>224</v>
      </c>
      <c r="G549">
        <v>119</v>
      </c>
      <c r="H549" t="s">
        <v>1279</v>
      </c>
      <c r="I549" t="s">
        <v>20</v>
      </c>
      <c r="J549">
        <v>224</v>
      </c>
    </row>
    <row r="550" spans="1:10" x14ac:dyDescent="0.35">
      <c r="A550">
        <v>6049710</v>
      </c>
      <c r="B550" t="s">
        <v>1280</v>
      </c>
      <c r="C550" t="s">
        <v>11</v>
      </c>
      <c r="D550" t="s">
        <v>1281</v>
      </c>
      <c r="E550" t="s">
        <v>23</v>
      </c>
      <c r="F550">
        <v>126</v>
      </c>
      <c r="G550">
        <v>64</v>
      </c>
      <c r="H550" t="s">
        <v>1282</v>
      </c>
      <c r="I550" t="s">
        <v>15</v>
      </c>
      <c r="J550">
        <v>126</v>
      </c>
    </row>
    <row r="551" spans="1:10" x14ac:dyDescent="0.35">
      <c r="A551">
        <v>6049710</v>
      </c>
      <c r="B551" t="s">
        <v>1280</v>
      </c>
      <c r="C551" t="s">
        <v>33</v>
      </c>
      <c r="D551" t="s">
        <v>1283</v>
      </c>
      <c r="E551" t="s">
        <v>23</v>
      </c>
      <c r="F551">
        <v>126</v>
      </c>
      <c r="G551">
        <v>64</v>
      </c>
      <c r="H551" t="s">
        <v>1282</v>
      </c>
      <c r="I551" t="s">
        <v>15</v>
      </c>
      <c r="J551">
        <v>126</v>
      </c>
    </row>
    <row r="552" spans="1:10" x14ac:dyDescent="0.35">
      <c r="A552">
        <v>6049710</v>
      </c>
      <c r="B552" t="s">
        <v>1280</v>
      </c>
      <c r="C552" t="s">
        <v>25</v>
      </c>
      <c r="D552" t="s">
        <v>1284</v>
      </c>
      <c r="E552" t="s">
        <v>23</v>
      </c>
      <c r="F552">
        <v>126</v>
      </c>
      <c r="G552">
        <v>64</v>
      </c>
      <c r="H552" t="s">
        <v>1282</v>
      </c>
      <c r="I552" t="s">
        <v>15</v>
      </c>
      <c r="J552">
        <v>126</v>
      </c>
    </row>
    <row r="553" spans="1:10" x14ac:dyDescent="0.35">
      <c r="A553">
        <v>6219993</v>
      </c>
      <c r="B553" t="s">
        <v>1285</v>
      </c>
      <c r="C553" t="s">
        <v>33</v>
      </c>
      <c r="D553" t="s">
        <v>1286</v>
      </c>
      <c r="E553" t="s">
        <v>970</v>
      </c>
      <c r="F553">
        <v>187</v>
      </c>
      <c r="G553">
        <v>112</v>
      </c>
      <c r="H553" t="s">
        <v>1287</v>
      </c>
      <c r="I553" t="s">
        <v>15</v>
      </c>
      <c r="J553">
        <v>187</v>
      </c>
    </row>
    <row r="554" spans="1:10" x14ac:dyDescent="0.35">
      <c r="A554">
        <v>6219993</v>
      </c>
      <c r="B554" t="s">
        <v>1285</v>
      </c>
      <c r="C554" t="s">
        <v>25</v>
      </c>
      <c r="D554" t="s">
        <v>1288</v>
      </c>
      <c r="E554" t="s">
        <v>970</v>
      </c>
      <c r="F554">
        <v>187</v>
      </c>
      <c r="G554">
        <v>112</v>
      </c>
      <c r="H554" t="s">
        <v>1287</v>
      </c>
      <c r="I554" t="s">
        <v>15</v>
      </c>
      <c r="J554">
        <v>187</v>
      </c>
    </row>
    <row r="555" spans="1:10" x14ac:dyDescent="0.35">
      <c r="A555">
        <v>6219993</v>
      </c>
      <c r="B555" t="s">
        <v>1285</v>
      </c>
      <c r="C555" t="s">
        <v>72</v>
      </c>
      <c r="D555" t="s">
        <v>1289</v>
      </c>
      <c r="E555" t="s">
        <v>970</v>
      </c>
      <c r="F555">
        <v>187</v>
      </c>
      <c r="G555">
        <v>112</v>
      </c>
      <c r="H555" t="s">
        <v>1287</v>
      </c>
      <c r="I555" t="s">
        <v>15</v>
      </c>
      <c r="J555">
        <v>187</v>
      </c>
    </row>
    <row r="556" spans="1:10" x14ac:dyDescent="0.35">
      <c r="A556">
        <v>6219993</v>
      </c>
      <c r="B556" t="s">
        <v>1285</v>
      </c>
      <c r="C556" t="s">
        <v>11</v>
      </c>
      <c r="D556" t="s">
        <v>1290</v>
      </c>
      <c r="E556" t="s">
        <v>970</v>
      </c>
      <c r="F556">
        <v>187</v>
      </c>
      <c r="G556">
        <v>112</v>
      </c>
      <c r="H556" t="s">
        <v>1287</v>
      </c>
      <c r="I556" t="s">
        <v>15</v>
      </c>
      <c r="J556">
        <v>187</v>
      </c>
    </row>
    <row r="557" spans="1:10" x14ac:dyDescent="0.35">
      <c r="A557">
        <v>4769007</v>
      </c>
      <c r="B557" t="s">
        <v>1291</v>
      </c>
      <c r="C557" t="s">
        <v>65</v>
      </c>
      <c r="D557" t="s">
        <v>1292</v>
      </c>
      <c r="E557" t="s">
        <v>108</v>
      </c>
      <c r="F557">
        <v>144</v>
      </c>
      <c r="G557">
        <v>69</v>
      </c>
      <c r="H557" t="s">
        <v>1293</v>
      </c>
      <c r="I557" t="s">
        <v>15</v>
      </c>
      <c r="J557">
        <v>144</v>
      </c>
    </row>
    <row r="558" spans="1:10" x14ac:dyDescent="0.35">
      <c r="A558">
        <v>4769007</v>
      </c>
      <c r="B558" t="s">
        <v>1291</v>
      </c>
      <c r="C558" t="s">
        <v>11</v>
      </c>
      <c r="D558" t="s">
        <v>1294</v>
      </c>
      <c r="E558" t="s">
        <v>108</v>
      </c>
      <c r="F558">
        <v>144</v>
      </c>
      <c r="G558">
        <v>69</v>
      </c>
      <c r="H558" t="s">
        <v>1293</v>
      </c>
      <c r="I558" t="s">
        <v>15</v>
      </c>
      <c r="J558">
        <v>144</v>
      </c>
    </row>
    <row r="559" spans="1:10" x14ac:dyDescent="0.35">
      <c r="A559">
        <v>4769007</v>
      </c>
      <c r="B559" t="s">
        <v>1291</v>
      </c>
      <c r="C559" t="s">
        <v>25</v>
      </c>
      <c r="D559" t="s">
        <v>1295</v>
      </c>
      <c r="E559" t="s">
        <v>108</v>
      </c>
      <c r="F559">
        <v>144</v>
      </c>
      <c r="G559">
        <v>69</v>
      </c>
      <c r="H559" t="s">
        <v>1293</v>
      </c>
      <c r="I559" t="s">
        <v>15</v>
      </c>
      <c r="J559">
        <v>144</v>
      </c>
    </row>
    <row r="560" spans="1:10" x14ac:dyDescent="0.35">
      <c r="A560">
        <v>4769007</v>
      </c>
      <c r="B560" t="s">
        <v>1291</v>
      </c>
      <c r="C560" t="s">
        <v>158</v>
      </c>
      <c r="D560" t="s">
        <v>1296</v>
      </c>
      <c r="E560" t="s">
        <v>108</v>
      </c>
      <c r="F560">
        <v>144</v>
      </c>
      <c r="G560">
        <v>69</v>
      </c>
      <c r="H560" t="s">
        <v>1293</v>
      </c>
      <c r="I560" t="s">
        <v>15</v>
      </c>
      <c r="J560">
        <v>144</v>
      </c>
    </row>
    <row r="561" spans="1:10" x14ac:dyDescent="0.35">
      <c r="A561">
        <v>4769007</v>
      </c>
      <c r="B561" t="s">
        <v>1291</v>
      </c>
      <c r="C561" t="s">
        <v>72</v>
      </c>
      <c r="D561" t="s">
        <v>1297</v>
      </c>
      <c r="E561" t="s">
        <v>108</v>
      </c>
      <c r="F561">
        <v>144</v>
      </c>
      <c r="G561">
        <v>69</v>
      </c>
      <c r="H561" t="s">
        <v>1293</v>
      </c>
      <c r="I561" t="s">
        <v>15</v>
      </c>
      <c r="J561">
        <v>144</v>
      </c>
    </row>
    <row r="562" spans="1:10" x14ac:dyDescent="0.35">
      <c r="A562">
        <v>4769007</v>
      </c>
      <c r="B562" t="s">
        <v>1291</v>
      </c>
      <c r="C562" t="s">
        <v>33</v>
      </c>
      <c r="D562" t="s">
        <v>1298</v>
      </c>
      <c r="E562" t="s">
        <v>108</v>
      </c>
      <c r="F562">
        <v>144</v>
      </c>
      <c r="G562">
        <v>69</v>
      </c>
      <c r="H562" t="s">
        <v>1293</v>
      </c>
      <c r="I562" t="s">
        <v>15</v>
      </c>
      <c r="J562">
        <v>144</v>
      </c>
    </row>
    <row r="563" spans="1:10" x14ac:dyDescent="0.35">
      <c r="B563" t="s">
        <v>1299</v>
      </c>
      <c r="C563" t="s">
        <v>11</v>
      </c>
      <c r="D563" t="s">
        <v>1300</v>
      </c>
      <c r="E563" t="s">
        <v>108</v>
      </c>
      <c r="F563">
        <v>129</v>
      </c>
      <c r="G563">
        <v>65</v>
      </c>
      <c r="H563" t="s">
        <v>1301</v>
      </c>
      <c r="I563" t="s">
        <v>15</v>
      </c>
      <c r="J563">
        <v>129</v>
      </c>
    </row>
    <row r="564" spans="1:10" x14ac:dyDescent="0.35">
      <c r="A564">
        <v>4769007</v>
      </c>
      <c r="B564" t="s">
        <v>1291</v>
      </c>
      <c r="C564" t="s">
        <v>253</v>
      </c>
      <c r="D564" t="s">
        <v>1302</v>
      </c>
      <c r="E564" t="s">
        <v>108</v>
      </c>
      <c r="F564">
        <v>144</v>
      </c>
      <c r="G564">
        <v>69</v>
      </c>
      <c r="H564" t="s">
        <v>1293</v>
      </c>
      <c r="I564" t="s">
        <v>15</v>
      </c>
      <c r="J564">
        <v>144</v>
      </c>
    </row>
    <row r="565" spans="1:10" x14ac:dyDescent="0.35">
      <c r="B565" t="s">
        <v>1299</v>
      </c>
      <c r="C565" t="s">
        <v>25</v>
      </c>
      <c r="D565" t="s">
        <v>1303</v>
      </c>
      <c r="E565" t="s">
        <v>108</v>
      </c>
      <c r="F565">
        <v>129</v>
      </c>
      <c r="G565">
        <v>65</v>
      </c>
      <c r="H565" t="s">
        <v>1301</v>
      </c>
      <c r="I565" t="s">
        <v>15</v>
      </c>
      <c r="J565">
        <v>129</v>
      </c>
    </row>
    <row r="566" spans="1:10" x14ac:dyDescent="0.35">
      <c r="A566">
        <v>4769007</v>
      </c>
      <c r="B566" t="s">
        <v>1291</v>
      </c>
      <c r="C566" t="s">
        <v>214</v>
      </c>
      <c r="D566" t="s">
        <v>1304</v>
      </c>
      <c r="E566" t="s">
        <v>108</v>
      </c>
      <c r="F566">
        <v>144</v>
      </c>
      <c r="G566">
        <v>69</v>
      </c>
      <c r="H566" t="s">
        <v>1293</v>
      </c>
      <c r="I566" t="s">
        <v>15</v>
      </c>
      <c r="J566">
        <v>144</v>
      </c>
    </row>
    <row r="567" spans="1:10" x14ac:dyDescent="0.35">
      <c r="B567" t="s">
        <v>1305</v>
      </c>
      <c r="C567" t="s">
        <v>11</v>
      </c>
      <c r="D567" t="s">
        <v>1306</v>
      </c>
      <c r="E567" t="s">
        <v>23</v>
      </c>
      <c r="F567">
        <v>112</v>
      </c>
      <c r="G567">
        <v>56</v>
      </c>
      <c r="H567" t="s">
        <v>1307</v>
      </c>
      <c r="I567" t="s">
        <v>15</v>
      </c>
      <c r="J567">
        <v>112</v>
      </c>
    </row>
    <row r="568" spans="1:10" x14ac:dyDescent="0.35">
      <c r="B568" t="s">
        <v>1305</v>
      </c>
      <c r="C568" t="s">
        <v>25</v>
      </c>
      <c r="D568" t="s">
        <v>1308</v>
      </c>
      <c r="E568" t="s">
        <v>23</v>
      </c>
      <c r="F568">
        <v>112</v>
      </c>
      <c r="G568">
        <v>56</v>
      </c>
      <c r="H568" t="s">
        <v>1307</v>
      </c>
      <c r="I568" t="s">
        <v>15</v>
      </c>
      <c r="J568">
        <v>112</v>
      </c>
    </row>
    <row r="569" spans="1:10" x14ac:dyDescent="0.35">
      <c r="B569" t="s">
        <v>1305</v>
      </c>
      <c r="C569" t="s">
        <v>33</v>
      </c>
      <c r="D569" t="s">
        <v>1309</v>
      </c>
      <c r="E569" t="s">
        <v>23</v>
      </c>
      <c r="F569">
        <v>112</v>
      </c>
      <c r="G569">
        <v>56</v>
      </c>
      <c r="H569" t="s">
        <v>1307</v>
      </c>
      <c r="I569" t="s">
        <v>15</v>
      </c>
      <c r="J569">
        <v>112</v>
      </c>
    </row>
    <row r="570" spans="1:10" x14ac:dyDescent="0.35">
      <c r="A570">
        <v>6405541</v>
      </c>
      <c r="B570" t="s">
        <v>1310</v>
      </c>
      <c r="C570" t="s">
        <v>72</v>
      </c>
      <c r="D570" t="s">
        <v>1311</v>
      </c>
      <c r="E570" t="s">
        <v>274</v>
      </c>
      <c r="F570">
        <v>230</v>
      </c>
      <c r="G570">
        <v>115</v>
      </c>
      <c r="H570" t="s">
        <v>275</v>
      </c>
      <c r="I570" t="s">
        <v>15</v>
      </c>
      <c r="J570">
        <v>230</v>
      </c>
    </row>
    <row r="571" spans="1:10" x14ac:dyDescent="0.35">
      <c r="B571" t="s">
        <v>1312</v>
      </c>
      <c r="C571" t="s">
        <v>11</v>
      </c>
      <c r="D571" t="s">
        <v>1313</v>
      </c>
      <c r="E571" t="s">
        <v>13</v>
      </c>
      <c r="F571">
        <v>52</v>
      </c>
      <c r="G571">
        <v>26</v>
      </c>
      <c r="H571" t="s">
        <v>1314</v>
      </c>
      <c r="I571" t="s">
        <v>15</v>
      </c>
      <c r="J571">
        <v>52</v>
      </c>
    </row>
    <row r="572" spans="1:10" x14ac:dyDescent="0.35">
      <c r="A572">
        <v>6405541</v>
      </c>
      <c r="B572" t="s">
        <v>1310</v>
      </c>
      <c r="C572" t="s">
        <v>33</v>
      </c>
      <c r="D572" t="s">
        <v>1315</v>
      </c>
      <c r="E572" t="s">
        <v>274</v>
      </c>
      <c r="F572">
        <v>230</v>
      </c>
      <c r="G572">
        <v>115</v>
      </c>
      <c r="H572" t="s">
        <v>275</v>
      </c>
      <c r="I572" t="s">
        <v>15</v>
      </c>
      <c r="J572">
        <v>230</v>
      </c>
    </row>
    <row r="573" spans="1:10" x14ac:dyDescent="0.35">
      <c r="A573">
        <v>6405541</v>
      </c>
      <c r="B573" t="s">
        <v>1310</v>
      </c>
      <c r="C573" t="s">
        <v>25</v>
      </c>
      <c r="D573" t="s">
        <v>1316</v>
      </c>
      <c r="E573" t="s">
        <v>274</v>
      </c>
      <c r="F573">
        <v>230</v>
      </c>
      <c r="G573">
        <v>115</v>
      </c>
      <c r="H573" t="s">
        <v>275</v>
      </c>
      <c r="I573" t="s">
        <v>15</v>
      </c>
      <c r="J573">
        <v>230</v>
      </c>
    </row>
    <row r="574" spans="1:10" x14ac:dyDescent="0.35">
      <c r="A574">
        <v>6405541</v>
      </c>
      <c r="B574" t="s">
        <v>1310</v>
      </c>
      <c r="C574" t="s">
        <v>11</v>
      </c>
      <c r="D574" t="s">
        <v>1317</v>
      </c>
      <c r="E574" t="s">
        <v>274</v>
      </c>
      <c r="F574">
        <v>230</v>
      </c>
      <c r="G574">
        <v>115</v>
      </c>
      <c r="H574" t="s">
        <v>275</v>
      </c>
      <c r="I574" t="s">
        <v>15</v>
      </c>
      <c r="J574">
        <v>230</v>
      </c>
    </row>
    <row r="575" spans="1:10" x14ac:dyDescent="0.35">
      <c r="A575">
        <v>29904</v>
      </c>
      <c r="B575" t="s">
        <v>1318</v>
      </c>
      <c r="C575" t="s">
        <v>11</v>
      </c>
      <c r="D575" t="s">
        <v>1319</v>
      </c>
      <c r="E575" t="s">
        <v>39</v>
      </c>
      <c r="F575">
        <v>244</v>
      </c>
      <c r="G575">
        <v>122</v>
      </c>
      <c r="H575" t="s">
        <v>1320</v>
      </c>
      <c r="I575" t="s">
        <v>20</v>
      </c>
      <c r="J575">
        <v>244</v>
      </c>
    </row>
    <row r="576" spans="1:10" x14ac:dyDescent="0.35">
      <c r="A576">
        <v>5726220</v>
      </c>
      <c r="B576" t="s">
        <v>1321</v>
      </c>
      <c r="C576" t="s">
        <v>11</v>
      </c>
      <c r="D576" t="s">
        <v>1322</v>
      </c>
      <c r="E576" t="s">
        <v>13</v>
      </c>
      <c r="F576">
        <v>72</v>
      </c>
      <c r="G576">
        <v>37</v>
      </c>
      <c r="H576" t="s">
        <v>1247</v>
      </c>
      <c r="I576" t="s">
        <v>15</v>
      </c>
      <c r="J576">
        <v>72</v>
      </c>
    </row>
    <row r="577" spans="1:10" x14ac:dyDescent="0.35">
      <c r="A577">
        <v>41222</v>
      </c>
      <c r="B577" t="s">
        <v>1323</v>
      </c>
      <c r="C577" t="s">
        <v>25</v>
      </c>
      <c r="D577" t="s">
        <v>1324</v>
      </c>
      <c r="E577" t="s">
        <v>30</v>
      </c>
      <c r="F577">
        <v>180</v>
      </c>
      <c r="G577">
        <v>100</v>
      </c>
      <c r="H577" t="s">
        <v>1325</v>
      </c>
      <c r="I577" t="s">
        <v>20</v>
      </c>
      <c r="J577">
        <v>180</v>
      </c>
    </row>
    <row r="578" spans="1:10" x14ac:dyDescent="0.35">
      <c r="A578">
        <v>41222</v>
      </c>
      <c r="B578" t="s">
        <v>1323</v>
      </c>
      <c r="C578" t="s">
        <v>11</v>
      </c>
      <c r="D578" t="s">
        <v>1326</v>
      </c>
      <c r="E578" t="s">
        <v>30</v>
      </c>
      <c r="F578">
        <v>180</v>
      </c>
      <c r="G578">
        <v>100</v>
      </c>
      <c r="H578" t="s">
        <v>1327</v>
      </c>
      <c r="I578" t="s">
        <v>20</v>
      </c>
      <c r="J578">
        <v>180</v>
      </c>
    </row>
    <row r="579" spans="1:10" x14ac:dyDescent="0.35">
      <c r="A579">
        <v>5407354</v>
      </c>
      <c r="B579" t="s">
        <v>1328</v>
      </c>
      <c r="C579" t="s">
        <v>25</v>
      </c>
      <c r="D579" t="s">
        <v>1329</v>
      </c>
      <c r="E579" t="s">
        <v>13</v>
      </c>
      <c r="F579">
        <v>70</v>
      </c>
      <c r="G579">
        <v>35</v>
      </c>
      <c r="H579" t="s">
        <v>1330</v>
      </c>
      <c r="I579" t="s">
        <v>15</v>
      </c>
      <c r="J579">
        <v>70</v>
      </c>
    </row>
    <row r="580" spans="1:10" x14ac:dyDescent="0.35">
      <c r="A580">
        <v>6465641</v>
      </c>
      <c r="B580" t="s">
        <v>1331</v>
      </c>
      <c r="C580" t="s">
        <v>277</v>
      </c>
      <c r="D580" t="s">
        <v>1332</v>
      </c>
      <c r="E580" t="s">
        <v>1333</v>
      </c>
      <c r="F580">
        <v>112</v>
      </c>
      <c r="G580">
        <v>46</v>
      </c>
      <c r="H580" t="s">
        <v>1334</v>
      </c>
      <c r="I580" t="s">
        <v>15</v>
      </c>
      <c r="J580">
        <v>112</v>
      </c>
    </row>
    <row r="581" spans="1:10" x14ac:dyDescent="0.35">
      <c r="A581">
        <v>5407354</v>
      </c>
      <c r="B581" t="s">
        <v>1328</v>
      </c>
      <c r="C581" t="s">
        <v>11</v>
      </c>
      <c r="D581" t="s">
        <v>1335</v>
      </c>
      <c r="E581" t="s">
        <v>13</v>
      </c>
      <c r="F581">
        <v>70</v>
      </c>
      <c r="G581">
        <v>35</v>
      </c>
      <c r="H581" t="s">
        <v>1330</v>
      </c>
      <c r="I581" t="s">
        <v>15</v>
      </c>
      <c r="J581">
        <v>70</v>
      </c>
    </row>
    <row r="582" spans="1:10" x14ac:dyDescent="0.35">
      <c r="A582">
        <v>6465641</v>
      </c>
      <c r="B582" t="s">
        <v>1331</v>
      </c>
      <c r="C582" t="s">
        <v>281</v>
      </c>
      <c r="D582" t="s">
        <v>1336</v>
      </c>
      <c r="E582" t="s">
        <v>1333</v>
      </c>
      <c r="F582">
        <v>112</v>
      </c>
      <c r="G582">
        <v>46</v>
      </c>
      <c r="H582" t="s">
        <v>1334</v>
      </c>
      <c r="I582" t="s">
        <v>15</v>
      </c>
      <c r="J582">
        <v>112</v>
      </c>
    </row>
    <row r="583" spans="1:10" x14ac:dyDescent="0.35">
      <c r="A583">
        <v>5407354</v>
      </c>
      <c r="B583" t="s">
        <v>1328</v>
      </c>
      <c r="C583" t="s">
        <v>33</v>
      </c>
      <c r="D583" t="s">
        <v>1337</v>
      </c>
      <c r="E583" t="s">
        <v>13</v>
      </c>
      <c r="F583">
        <v>70</v>
      </c>
      <c r="G583">
        <v>35</v>
      </c>
      <c r="H583" t="s">
        <v>1330</v>
      </c>
      <c r="I583" t="s">
        <v>15</v>
      </c>
      <c r="J583">
        <v>70</v>
      </c>
    </row>
    <row r="584" spans="1:10" x14ac:dyDescent="0.35">
      <c r="A584">
        <v>5934583</v>
      </c>
      <c r="B584" t="s">
        <v>1338</v>
      </c>
      <c r="C584" t="s">
        <v>25</v>
      </c>
      <c r="D584" t="s">
        <v>1339</v>
      </c>
      <c r="E584" t="s">
        <v>70</v>
      </c>
      <c r="F584">
        <v>188</v>
      </c>
      <c r="G584">
        <v>108</v>
      </c>
      <c r="H584" t="s">
        <v>1340</v>
      </c>
      <c r="I584" t="s">
        <v>15</v>
      </c>
      <c r="J584">
        <v>188</v>
      </c>
    </row>
    <row r="585" spans="1:10" x14ac:dyDescent="0.35">
      <c r="A585">
        <v>5934583</v>
      </c>
      <c r="B585" t="s">
        <v>1338</v>
      </c>
      <c r="C585" t="s">
        <v>11</v>
      </c>
      <c r="D585" t="s">
        <v>1341</v>
      </c>
      <c r="E585" t="s">
        <v>70</v>
      </c>
      <c r="F585">
        <v>188</v>
      </c>
      <c r="G585">
        <v>108</v>
      </c>
      <c r="H585" t="s">
        <v>1340</v>
      </c>
      <c r="I585" t="s">
        <v>15</v>
      </c>
      <c r="J585">
        <v>188</v>
      </c>
    </row>
    <row r="586" spans="1:10" x14ac:dyDescent="0.35">
      <c r="A586">
        <v>30029</v>
      </c>
      <c r="B586" t="s">
        <v>1342</v>
      </c>
      <c r="C586" t="s">
        <v>11</v>
      </c>
      <c r="D586" t="s">
        <v>1343</v>
      </c>
      <c r="E586" t="s">
        <v>39</v>
      </c>
      <c r="F586">
        <v>202</v>
      </c>
      <c r="G586">
        <v>103</v>
      </c>
      <c r="H586" t="s">
        <v>102</v>
      </c>
      <c r="I586" t="s">
        <v>20</v>
      </c>
      <c r="J586">
        <v>202</v>
      </c>
    </row>
    <row r="587" spans="1:10" x14ac:dyDescent="0.35">
      <c r="A587">
        <v>30029</v>
      </c>
      <c r="B587" t="s">
        <v>1342</v>
      </c>
      <c r="C587" t="s">
        <v>25</v>
      </c>
      <c r="D587" t="s">
        <v>1344</v>
      </c>
      <c r="E587" t="s">
        <v>39</v>
      </c>
      <c r="F587">
        <v>202</v>
      </c>
      <c r="G587">
        <v>103</v>
      </c>
      <c r="H587" t="s">
        <v>102</v>
      </c>
      <c r="I587" t="s">
        <v>20</v>
      </c>
      <c r="J587">
        <v>202</v>
      </c>
    </row>
    <row r="588" spans="1:10" x14ac:dyDescent="0.35">
      <c r="A588">
        <v>30029</v>
      </c>
      <c r="B588" t="s">
        <v>1342</v>
      </c>
      <c r="C588" t="s">
        <v>33</v>
      </c>
      <c r="D588" t="s">
        <v>1345</v>
      </c>
      <c r="E588" t="s">
        <v>39</v>
      </c>
      <c r="F588">
        <v>202</v>
      </c>
      <c r="G588">
        <v>103</v>
      </c>
      <c r="H588" t="s">
        <v>102</v>
      </c>
      <c r="I588" t="s">
        <v>20</v>
      </c>
      <c r="J588">
        <v>202</v>
      </c>
    </row>
    <row r="589" spans="1:10" x14ac:dyDescent="0.35">
      <c r="A589">
        <v>537233</v>
      </c>
      <c r="B589" t="s">
        <v>1346</v>
      </c>
      <c r="C589" t="s">
        <v>11</v>
      </c>
      <c r="D589" t="s">
        <v>1347</v>
      </c>
      <c r="E589" t="s">
        <v>410</v>
      </c>
      <c r="F589">
        <v>146</v>
      </c>
      <c r="G589">
        <v>73</v>
      </c>
      <c r="H589" t="s">
        <v>1348</v>
      </c>
      <c r="I589" t="s">
        <v>15</v>
      </c>
      <c r="J589">
        <v>146</v>
      </c>
    </row>
    <row r="590" spans="1:10" x14ac:dyDescent="0.35">
      <c r="A590">
        <v>3370941</v>
      </c>
      <c r="B590" t="s">
        <v>1349</v>
      </c>
      <c r="C590" t="s">
        <v>11</v>
      </c>
      <c r="D590" t="s">
        <v>1350</v>
      </c>
      <c r="E590" t="s">
        <v>108</v>
      </c>
      <c r="F590">
        <v>144</v>
      </c>
      <c r="G590">
        <v>72</v>
      </c>
      <c r="H590" t="s">
        <v>1351</v>
      </c>
      <c r="I590" t="s">
        <v>15</v>
      </c>
      <c r="J590">
        <v>144</v>
      </c>
    </row>
    <row r="591" spans="1:10" x14ac:dyDescent="0.35">
      <c r="A591">
        <v>3370941</v>
      </c>
      <c r="B591" t="s">
        <v>1349</v>
      </c>
      <c r="C591" t="s">
        <v>25</v>
      </c>
      <c r="D591" t="s">
        <v>1352</v>
      </c>
      <c r="E591" t="s">
        <v>108</v>
      </c>
      <c r="F591">
        <v>144</v>
      </c>
      <c r="G591">
        <v>72</v>
      </c>
      <c r="H591" t="s">
        <v>1351</v>
      </c>
      <c r="I591" t="s">
        <v>15</v>
      </c>
      <c r="J591">
        <v>144</v>
      </c>
    </row>
    <row r="592" spans="1:10" x14ac:dyDescent="0.35">
      <c r="A592">
        <v>30069</v>
      </c>
      <c r="B592" t="s">
        <v>1353</v>
      </c>
      <c r="C592" t="s">
        <v>25</v>
      </c>
      <c r="D592" t="s">
        <v>1354</v>
      </c>
      <c r="E592" t="s">
        <v>145</v>
      </c>
      <c r="F592">
        <v>137</v>
      </c>
      <c r="G592">
        <v>66</v>
      </c>
      <c r="H592" t="s">
        <v>1355</v>
      </c>
      <c r="I592" t="s">
        <v>20</v>
      </c>
      <c r="J592">
        <v>137</v>
      </c>
    </row>
    <row r="593" spans="1:10" x14ac:dyDescent="0.35">
      <c r="B593" t="s">
        <v>1356</v>
      </c>
      <c r="C593" t="s">
        <v>11</v>
      </c>
      <c r="D593" t="s">
        <v>1357</v>
      </c>
      <c r="E593" t="s">
        <v>13</v>
      </c>
      <c r="F593">
        <v>60</v>
      </c>
      <c r="G593">
        <v>30</v>
      </c>
      <c r="H593" t="s">
        <v>1358</v>
      </c>
      <c r="I593" t="s">
        <v>15</v>
      </c>
      <c r="J593">
        <v>60</v>
      </c>
    </row>
    <row r="594" spans="1:10" x14ac:dyDescent="0.35">
      <c r="A594">
        <v>30069</v>
      </c>
      <c r="B594" t="s">
        <v>1353</v>
      </c>
      <c r="C594" t="s">
        <v>11</v>
      </c>
      <c r="D594" t="s">
        <v>1359</v>
      </c>
      <c r="E594" t="s">
        <v>145</v>
      </c>
      <c r="F594">
        <v>137</v>
      </c>
      <c r="G594">
        <v>66</v>
      </c>
      <c r="H594" t="s">
        <v>1360</v>
      </c>
      <c r="I594" t="s">
        <v>20</v>
      </c>
      <c r="J594">
        <v>137</v>
      </c>
    </row>
    <row r="595" spans="1:10" x14ac:dyDescent="0.35">
      <c r="B595" t="s">
        <v>1356</v>
      </c>
      <c r="C595" t="s">
        <v>25</v>
      </c>
      <c r="D595" t="s">
        <v>1361</v>
      </c>
      <c r="E595" t="s">
        <v>13</v>
      </c>
      <c r="F595">
        <v>60</v>
      </c>
      <c r="G595">
        <v>30</v>
      </c>
      <c r="H595" t="s">
        <v>1358</v>
      </c>
      <c r="I595" t="s">
        <v>15</v>
      </c>
      <c r="J595">
        <v>60</v>
      </c>
    </row>
    <row r="596" spans="1:10" x14ac:dyDescent="0.35">
      <c r="A596">
        <v>4152743</v>
      </c>
      <c r="B596" t="s">
        <v>1362</v>
      </c>
      <c r="C596" t="s">
        <v>11</v>
      </c>
      <c r="D596" t="s">
        <v>1363</v>
      </c>
      <c r="E596" t="s">
        <v>70</v>
      </c>
      <c r="F596">
        <v>208</v>
      </c>
      <c r="G596">
        <v>98</v>
      </c>
      <c r="H596" t="s">
        <v>1364</v>
      </c>
      <c r="I596" t="s">
        <v>15</v>
      </c>
      <c r="J596">
        <v>208</v>
      </c>
    </row>
    <row r="597" spans="1:10" x14ac:dyDescent="0.35">
      <c r="A597">
        <v>4152743</v>
      </c>
      <c r="B597" t="s">
        <v>1362</v>
      </c>
      <c r="C597" t="s">
        <v>25</v>
      </c>
      <c r="D597" t="s">
        <v>1365</v>
      </c>
      <c r="E597" t="s">
        <v>70</v>
      </c>
      <c r="F597">
        <v>208</v>
      </c>
      <c r="G597">
        <v>98</v>
      </c>
      <c r="H597" t="s">
        <v>1364</v>
      </c>
      <c r="I597" t="s">
        <v>15</v>
      </c>
      <c r="J597">
        <v>208</v>
      </c>
    </row>
    <row r="598" spans="1:10" x14ac:dyDescent="0.35">
      <c r="A598">
        <v>5440394</v>
      </c>
      <c r="B598" t="s">
        <v>1366</v>
      </c>
      <c r="C598" t="s">
        <v>277</v>
      </c>
      <c r="D598" t="s">
        <v>1367</v>
      </c>
      <c r="E598" t="s">
        <v>23</v>
      </c>
      <c r="F598">
        <v>118</v>
      </c>
      <c r="G598">
        <v>58</v>
      </c>
      <c r="H598" t="s">
        <v>1368</v>
      </c>
      <c r="I598" t="s">
        <v>15</v>
      </c>
      <c r="J598">
        <v>118</v>
      </c>
    </row>
    <row r="599" spans="1:10" x14ac:dyDescent="0.35">
      <c r="A599">
        <v>5440394</v>
      </c>
      <c r="B599" t="s">
        <v>1366</v>
      </c>
      <c r="C599" t="s">
        <v>281</v>
      </c>
      <c r="D599" t="s">
        <v>1369</v>
      </c>
      <c r="E599" t="s">
        <v>23</v>
      </c>
      <c r="F599">
        <v>118</v>
      </c>
      <c r="G599">
        <v>58</v>
      </c>
      <c r="H599" t="s">
        <v>1368</v>
      </c>
      <c r="I599" t="s">
        <v>15</v>
      </c>
      <c r="J599">
        <v>118</v>
      </c>
    </row>
    <row r="600" spans="1:10" x14ac:dyDescent="0.35">
      <c r="B600" t="s">
        <v>1370</v>
      </c>
      <c r="C600" t="s">
        <v>25</v>
      </c>
      <c r="D600" t="s">
        <v>1371</v>
      </c>
      <c r="E600" t="s">
        <v>13</v>
      </c>
      <c r="F600">
        <v>58</v>
      </c>
      <c r="G600">
        <v>29</v>
      </c>
      <c r="H600" t="s">
        <v>1372</v>
      </c>
      <c r="I600" t="s">
        <v>15</v>
      </c>
      <c r="J600">
        <v>58</v>
      </c>
    </row>
    <row r="601" spans="1:10" x14ac:dyDescent="0.35">
      <c r="A601">
        <v>29426</v>
      </c>
      <c r="B601" t="s">
        <v>1373</v>
      </c>
      <c r="C601" t="s">
        <v>11</v>
      </c>
      <c r="D601" t="s">
        <v>1374</v>
      </c>
      <c r="E601" t="s">
        <v>39</v>
      </c>
      <c r="F601">
        <v>222</v>
      </c>
      <c r="G601">
        <v>110</v>
      </c>
      <c r="H601" t="s">
        <v>1375</v>
      </c>
      <c r="I601" t="s">
        <v>20</v>
      </c>
      <c r="J601">
        <v>222</v>
      </c>
    </row>
    <row r="602" spans="1:10" x14ac:dyDescent="0.35">
      <c r="B602" t="s">
        <v>1370</v>
      </c>
      <c r="C602" t="s">
        <v>11</v>
      </c>
      <c r="D602" t="s">
        <v>1376</v>
      </c>
      <c r="E602" t="s">
        <v>13</v>
      </c>
      <c r="F602">
        <v>58</v>
      </c>
      <c r="G602">
        <v>29</v>
      </c>
      <c r="H602" t="s">
        <v>1372</v>
      </c>
      <c r="I602" t="s">
        <v>15</v>
      </c>
      <c r="J602">
        <v>58</v>
      </c>
    </row>
    <row r="603" spans="1:10" x14ac:dyDescent="0.35">
      <c r="B603" t="s">
        <v>1377</v>
      </c>
      <c r="C603" t="s">
        <v>25</v>
      </c>
      <c r="D603" t="s">
        <v>1378</v>
      </c>
      <c r="E603" t="s">
        <v>108</v>
      </c>
      <c r="F603">
        <v>122</v>
      </c>
      <c r="G603">
        <v>61</v>
      </c>
      <c r="H603" t="s">
        <v>1130</v>
      </c>
      <c r="I603" t="s">
        <v>15</v>
      </c>
      <c r="J603">
        <v>122</v>
      </c>
    </row>
    <row r="604" spans="1:10" x14ac:dyDescent="0.35">
      <c r="B604" t="s">
        <v>1379</v>
      </c>
      <c r="C604" t="s">
        <v>11</v>
      </c>
      <c r="D604" t="s">
        <v>1380</v>
      </c>
      <c r="E604" t="s">
        <v>13</v>
      </c>
      <c r="F604">
        <v>76</v>
      </c>
      <c r="G604">
        <v>38</v>
      </c>
      <c r="H604" t="s">
        <v>1381</v>
      </c>
      <c r="I604" t="s">
        <v>15</v>
      </c>
      <c r="J604">
        <v>76</v>
      </c>
    </row>
    <row r="605" spans="1:10" x14ac:dyDescent="0.35">
      <c r="A605">
        <v>5832357</v>
      </c>
      <c r="B605" t="s">
        <v>1382</v>
      </c>
      <c r="C605" t="s">
        <v>11</v>
      </c>
      <c r="D605" t="s">
        <v>1383</v>
      </c>
      <c r="E605" t="s">
        <v>13</v>
      </c>
      <c r="F605">
        <v>45</v>
      </c>
      <c r="G605">
        <v>30</v>
      </c>
      <c r="H605" t="s">
        <v>1384</v>
      </c>
      <c r="I605" t="s">
        <v>15</v>
      </c>
      <c r="J605">
        <v>45</v>
      </c>
    </row>
    <row r="606" spans="1:10" x14ac:dyDescent="0.35">
      <c r="A606">
        <v>5832357</v>
      </c>
      <c r="B606" t="s">
        <v>1382</v>
      </c>
      <c r="C606" t="s">
        <v>25</v>
      </c>
      <c r="D606" t="s">
        <v>1385</v>
      </c>
      <c r="E606" t="s">
        <v>13</v>
      </c>
      <c r="F606">
        <v>45</v>
      </c>
      <c r="G606">
        <v>30</v>
      </c>
      <c r="H606" t="s">
        <v>1384</v>
      </c>
      <c r="I606" t="s">
        <v>15</v>
      </c>
      <c r="J606">
        <v>45</v>
      </c>
    </row>
    <row r="607" spans="1:10" x14ac:dyDescent="0.35">
      <c r="A607">
        <v>5795346</v>
      </c>
      <c r="B607" t="s">
        <v>1386</v>
      </c>
      <c r="C607" t="s">
        <v>11</v>
      </c>
      <c r="D607" t="s">
        <v>1387</v>
      </c>
      <c r="E607" t="s">
        <v>70</v>
      </c>
      <c r="F607">
        <v>218</v>
      </c>
      <c r="G607">
        <v>103</v>
      </c>
      <c r="H607" t="s">
        <v>1388</v>
      </c>
      <c r="I607" t="s">
        <v>15</v>
      </c>
      <c r="J607">
        <v>218</v>
      </c>
    </row>
    <row r="608" spans="1:10" x14ac:dyDescent="0.35">
      <c r="A608">
        <v>5795346</v>
      </c>
      <c r="B608" t="s">
        <v>1386</v>
      </c>
      <c r="C608" t="s">
        <v>25</v>
      </c>
      <c r="D608" t="s">
        <v>1389</v>
      </c>
      <c r="E608" t="s">
        <v>70</v>
      </c>
      <c r="F608">
        <v>218</v>
      </c>
      <c r="G608">
        <v>103</v>
      </c>
      <c r="H608" t="s">
        <v>1388</v>
      </c>
      <c r="I608" t="s">
        <v>15</v>
      </c>
      <c r="J608">
        <v>218</v>
      </c>
    </row>
    <row r="609" spans="1:10" x14ac:dyDescent="0.35">
      <c r="A609">
        <v>709638</v>
      </c>
      <c r="B609" t="s">
        <v>1390</v>
      </c>
      <c r="C609" t="s">
        <v>277</v>
      </c>
      <c r="D609" t="s">
        <v>1391</v>
      </c>
      <c r="E609" t="s">
        <v>39</v>
      </c>
      <c r="F609">
        <v>250</v>
      </c>
      <c r="G609">
        <v>127</v>
      </c>
      <c r="H609" t="s">
        <v>448</v>
      </c>
      <c r="I609" t="s">
        <v>20</v>
      </c>
      <c r="J609">
        <v>250</v>
      </c>
    </row>
    <row r="610" spans="1:10" x14ac:dyDescent="0.35">
      <c r="A610">
        <v>5795346</v>
      </c>
      <c r="B610" t="s">
        <v>1386</v>
      </c>
      <c r="C610" t="s">
        <v>33</v>
      </c>
      <c r="D610" t="s">
        <v>1392</v>
      </c>
      <c r="E610" t="s">
        <v>70</v>
      </c>
      <c r="F610">
        <v>218</v>
      </c>
      <c r="G610">
        <v>103</v>
      </c>
      <c r="H610" t="s">
        <v>1388</v>
      </c>
      <c r="I610" t="s">
        <v>15</v>
      </c>
      <c r="J610">
        <v>218</v>
      </c>
    </row>
    <row r="611" spans="1:10" x14ac:dyDescent="0.35">
      <c r="A611">
        <v>6044182</v>
      </c>
      <c r="B611" t="s">
        <v>1393</v>
      </c>
      <c r="C611" t="s">
        <v>33</v>
      </c>
      <c r="D611" t="s">
        <v>1394</v>
      </c>
      <c r="E611" t="s">
        <v>915</v>
      </c>
      <c r="F611">
        <v>106</v>
      </c>
      <c r="G611">
        <v>53</v>
      </c>
      <c r="H611" t="s">
        <v>1395</v>
      </c>
      <c r="I611" t="s">
        <v>15</v>
      </c>
      <c r="J611">
        <v>106</v>
      </c>
    </row>
    <row r="612" spans="1:10" x14ac:dyDescent="0.35">
      <c r="A612">
        <v>6044182</v>
      </c>
      <c r="B612" t="s">
        <v>1393</v>
      </c>
      <c r="C612" t="s">
        <v>25</v>
      </c>
      <c r="D612" t="s">
        <v>1396</v>
      </c>
      <c r="E612" t="s">
        <v>915</v>
      </c>
      <c r="F612">
        <v>106</v>
      </c>
      <c r="G612">
        <v>53</v>
      </c>
      <c r="H612" t="s">
        <v>1395</v>
      </c>
      <c r="I612" t="s">
        <v>15</v>
      </c>
      <c r="J612">
        <v>106</v>
      </c>
    </row>
    <row r="613" spans="1:10" x14ac:dyDescent="0.35">
      <c r="A613">
        <v>6044182</v>
      </c>
      <c r="B613" t="s">
        <v>1393</v>
      </c>
      <c r="C613" t="s">
        <v>11</v>
      </c>
      <c r="D613" t="s">
        <v>1397</v>
      </c>
      <c r="E613" t="s">
        <v>915</v>
      </c>
      <c r="F613">
        <v>106</v>
      </c>
      <c r="G613">
        <v>53</v>
      </c>
      <c r="H613" t="s">
        <v>1395</v>
      </c>
      <c r="I613" t="s">
        <v>15</v>
      </c>
      <c r="J613">
        <v>106</v>
      </c>
    </row>
    <row r="614" spans="1:10" x14ac:dyDescent="0.35">
      <c r="A614">
        <v>5855276</v>
      </c>
      <c r="B614" t="s">
        <v>1398</v>
      </c>
      <c r="C614" t="s">
        <v>25</v>
      </c>
      <c r="D614" t="s">
        <v>1399</v>
      </c>
      <c r="E614" t="s">
        <v>70</v>
      </c>
      <c r="F614">
        <v>184</v>
      </c>
      <c r="G614">
        <v>107</v>
      </c>
      <c r="H614" t="s">
        <v>1400</v>
      </c>
      <c r="I614" t="s">
        <v>15</v>
      </c>
      <c r="J614">
        <v>184</v>
      </c>
    </row>
    <row r="615" spans="1:10" x14ac:dyDescent="0.35">
      <c r="A615">
        <v>5855276</v>
      </c>
      <c r="B615" t="s">
        <v>1398</v>
      </c>
      <c r="C615" t="s">
        <v>11</v>
      </c>
      <c r="D615" t="s">
        <v>1401</v>
      </c>
      <c r="E615" t="s">
        <v>70</v>
      </c>
      <c r="F615">
        <v>184</v>
      </c>
      <c r="G615">
        <v>107</v>
      </c>
      <c r="H615" t="s">
        <v>1214</v>
      </c>
      <c r="I615" t="s">
        <v>15</v>
      </c>
      <c r="J615">
        <v>184</v>
      </c>
    </row>
    <row r="616" spans="1:10" x14ac:dyDescent="0.35">
      <c r="A616">
        <v>3081966</v>
      </c>
      <c r="B616" t="s">
        <v>1402</v>
      </c>
      <c r="C616" t="s">
        <v>11</v>
      </c>
      <c r="D616" t="s">
        <v>1403</v>
      </c>
      <c r="E616" t="s">
        <v>13</v>
      </c>
      <c r="F616">
        <v>56</v>
      </c>
      <c r="G616">
        <v>28</v>
      </c>
      <c r="H616" t="s">
        <v>1404</v>
      </c>
      <c r="I616" t="s">
        <v>15</v>
      </c>
      <c r="J616">
        <v>56</v>
      </c>
    </row>
    <row r="617" spans="1:10" x14ac:dyDescent="0.35">
      <c r="A617">
        <v>3081966</v>
      </c>
      <c r="B617" t="s">
        <v>1402</v>
      </c>
      <c r="C617" t="s">
        <v>25</v>
      </c>
      <c r="D617" t="s">
        <v>1405</v>
      </c>
      <c r="E617" t="s">
        <v>13</v>
      </c>
      <c r="F617">
        <v>56</v>
      </c>
      <c r="G617">
        <v>28</v>
      </c>
      <c r="H617" t="s">
        <v>1404</v>
      </c>
      <c r="I617" t="s">
        <v>15</v>
      </c>
      <c r="J617">
        <v>56</v>
      </c>
    </row>
    <row r="618" spans="1:10" x14ac:dyDescent="0.35">
      <c r="B618" t="s">
        <v>1406</v>
      </c>
      <c r="C618" t="s">
        <v>33</v>
      </c>
      <c r="D618" t="s">
        <v>1407</v>
      </c>
      <c r="E618" t="s">
        <v>108</v>
      </c>
      <c r="F618">
        <v>117</v>
      </c>
      <c r="G618">
        <v>55</v>
      </c>
      <c r="H618" t="s">
        <v>1408</v>
      </c>
      <c r="I618" t="s">
        <v>15</v>
      </c>
      <c r="J618">
        <v>117</v>
      </c>
    </row>
    <row r="619" spans="1:10" x14ac:dyDescent="0.35">
      <c r="B619" t="s">
        <v>1406</v>
      </c>
      <c r="C619" t="s">
        <v>25</v>
      </c>
      <c r="D619" t="s">
        <v>1409</v>
      </c>
      <c r="E619" t="s">
        <v>108</v>
      </c>
      <c r="F619">
        <v>117</v>
      </c>
      <c r="G619">
        <v>55</v>
      </c>
      <c r="H619" t="s">
        <v>1408</v>
      </c>
      <c r="I619" t="s">
        <v>15</v>
      </c>
      <c r="J619">
        <v>117</v>
      </c>
    </row>
    <row r="620" spans="1:10" x14ac:dyDescent="0.35">
      <c r="B620" t="s">
        <v>1406</v>
      </c>
      <c r="C620" t="s">
        <v>11</v>
      </c>
      <c r="D620" t="s">
        <v>1410</v>
      </c>
      <c r="E620" t="s">
        <v>108</v>
      </c>
      <c r="F620">
        <v>117</v>
      </c>
      <c r="G620">
        <v>55</v>
      </c>
      <c r="H620" t="s">
        <v>1408</v>
      </c>
      <c r="I620" t="s">
        <v>15</v>
      </c>
      <c r="J620">
        <v>117</v>
      </c>
    </row>
    <row r="621" spans="1:10" x14ac:dyDescent="0.35">
      <c r="A621">
        <v>6199364</v>
      </c>
      <c r="B621" t="s">
        <v>1411</v>
      </c>
      <c r="C621" t="s">
        <v>33</v>
      </c>
      <c r="D621" t="s">
        <v>1412</v>
      </c>
      <c r="E621" t="s">
        <v>970</v>
      </c>
      <c r="F621">
        <v>220</v>
      </c>
      <c r="G621">
        <v>110</v>
      </c>
      <c r="H621" t="s">
        <v>1413</v>
      </c>
      <c r="I621" t="s">
        <v>15</v>
      </c>
      <c r="J621">
        <v>220</v>
      </c>
    </row>
    <row r="622" spans="1:10" x14ac:dyDescent="0.35">
      <c r="A622">
        <v>6199364</v>
      </c>
      <c r="B622" t="s">
        <v>1411</v>
      </c>
      <c r="C622" t="s">
        <v>25</v>
      </c>
      <c r="D622" t="s">
        <v>1414</v>
      </c>
      <c r="E622" t="s">
        <v>970</v>
      </c>
      <c r="F622">
        <v>220</v>
      </c>
      <c r="G622">
        <v>110</v>
      </c>
      <c r="H622" t="s">
        <v>1413</v>
      </c>
      <c r="I622" t="s">
        <v>15</v>
      </c>
      <c r="J622">
        <v>220</v>
      </c>
    </row>
    <row r="623" spans="1:10" x14ac:dyDescent="0.35">
      <c r="A623">
        <v>6199364</v>
      </c>
      <c r="B623" t="s">
        <v>1411</v>
      </c>
      <c r="C623" t="s">
        <v>11</v>
      </c>
      <c r="D623" t="s">
        <v>1415</v>
      </c>
      <c r="E623" t="s">
        <v>970</v>
      </c>
      <c r="F623">
        <v>220</v>
      </c>
      <c r="G623">
        <v>110</v>
      </c>
      <c r="H623" t="s">
        <v>1413</v>
      </c>
      <c r="I623" t="s">
        <v>15</v>
      </c>
      <c r="J623">
        <v>220</v>
      </c>
    </row>
    <row r="624" spans="1:10" x14ac:dyDescent="0.35">
      <c r="A624">
        <v>6199364</v>
      </c>
      <c r="B624" t="s">
        <v>1411</v>
      </c>
      <c r="C624" t="s">
        <v>72</v>
      </c>
      <c r="D624" t="s">
        <v>1416</v>
      </c>
      <c r="E624" t="s">
        <v>970</v>
      </c>
      <c r="F624">
        <v>220</v>
      </c>
      <c r="G624">
        <v>110</v>
      </c>
      <c r="H624" t="s">
        <v>1413</v>
      </c>
      <c r="I624" t="s">
        <v>15</v>
      </c>
      <c r="J624">
        <v>220</v>
      </c>
    </row>
    <row r="625" spans="1:10" x14ac:dyDescent="0.35">
      <c r="A625">
        <v>5364086</v>
      </c>
      <c r="B625" t="s">
        <v>1417</v>
      </c>
      <c r="C625" t="s">
        <v>11</v>
      </c>
      <c r="D625" t="s">
        <v>1418</v>
      </c>
      <c r="E625" t="s">
        <v>108</v>
      </c>
      <c r="F625">
        <v>120</v>
      </c>
      <c r="G625">
        <v>60</v>
      </c>
      <c r="H625" t="s">
        <v>1419</v>
      </c>
      <c r="I625" t="s">
        <v>15</v>
      </c>
      <c r="J625">
        <v>120</v>
      </c>
    </row>
    <row r="626" spans="1:10" x14ac:dyDescent="0.35">
      <c r="B626" t="s">
        <v>1420</v>
      </c>
      <c r="C626" t="s">
        <v>11</v>
      </c>
      <c r="D626" t="s">
        <v>1421</v>
      </c>
      <c r="E626" t="s">
        <v>108</v>
      </c>
      <c r="F626">
        <v>179</v>
      </c>
      <c r="G626">
        <v>90</v>
      </c>
      <c r="H626" t="s">
        <v>1422</v>
      </c>
      <c r="I626" t="s">
        <v>15</v>
      </c>
      <c r="J626">
        <v>179</v>
      </c>
    </row>
    <row r="627" spans="1:10" x14ac:dyDescent="0.35">
      <c r="A627">
        <v>30623</v>
      </c>
      <c r="B627" t="s">
        <v>1423</v>
      </c>
      <c r="C627" t="s">
        <v>11</v>
      </c>
      <c r="D627" t="s">
        <v>1424</v>
      </c>
      <c r="E627" t="s">
        <v>145</v>
      </c>
      <c r="F627">
        <v>170</v>
      </c>
      <c r="G627">
        <v>86</v>
      </c>
      <c r="H627" t="s">
        <v>1425</v>
      </c>
      <c r="I627" t="s">
        <v>20</v>
      </c>
      <c r="J627">
        <v>170</v>
      </c>
    </row>
    <row r="628" spans="1:10" x14ac:dyDescent="0.35">
      <c r="B628" t="s">
        <v>1426</v>
      </c>
      <c r="C628" t="s">
        <v>72</v>
      </c>
      <c r="D628" t="s">
        <v>1427</v>
      </c>
      <c r="E628" t="s">
        <v>13</v>
      </c>
      <c r="F628">
        <v>32</v>
      </c>
      <c r="G628">
        <v>16</v>
      </c>
      <c r="H628" t="s">
        <v>1428</v>
      </c>
      <c r="I628" t="s">
        <v>15</v>
      </c>
      <c r="J628">
        <v>32</v>
      </c>
    </row>
    <row r="629" spans="1:10" x14ac:dyDescent="0.35">
      <c r="A629">
        <v>29901</v>
      </c>
      <c r="B629" t="s">
        <v>1429</v>
      </c>
      <c r="C629" t="s">
        <v>25</v>
      </c>
      <c r="D629" t="s">
        <v>1430</v>
      </c>
      <c r="E629" t="s">
        <v>145</v>
      </c>
      <c r="F629">
        <v>141</v>
      </c>
      <c r="G629">
        <v>70</v>
      </c>
      <c r="H629" t="s">
        <v>1431</v>
      </c>
      <c r="I629" t="s">
        <v>20</v>
      </c>
      <c r="J629">
        <v>141</v>
      </c>
    </row>
    <row r="630" spans="1:10" x14ac:dyDescent="0.35">
      <c r="B630" t="s">
        <v>1426</v>
      </c>
      <c r="C630" t="s">
        <v>11</v>
      </c>
      <c r="D630" t="s">
        <v>1432</v>
      </c>
      <c r="E630" t="s">
        <v>13</v>
      </c>
      <c r="F630">
        <v>32</v>
      </c>
      <c r="G630">
        <v>16</v>
      </c>
      <c r="H630" t="s">
        <v>1428</v>
      </c>
      <c r="I630" t="s">
        <v>15</v>
      </c>
      <c r="J630">
        <v>32</v>
      </c>
    </row>
    <row r="631" spans="1:10" x14ac:dyDescent="0.35">
      <c r="A631">
        <v>29901</v>
      </c>
      <c r="B631" t="s">
        <v>1429</v>
      </c>
      <c r="C631" t="s">
        <v>11</v>
      </c>
      <c r="D631" t="s">
        <v>1433</v>
      </c>
      <c r="E631" t="s">
        <v>145</v>
      </c>
      <c r="F631">
        <v>141</v>
      </c>
      <c r="G631">
        <v>70</v>
      </c>
      <c r="H631" t="s">
        <v>1434</v>
      </c>
      <c r="I631" t="s">
        <v>20</v>
      </c>
      <c r="J631">
        <v>141</v>
      </c>
    </row>
    <row r="632" spans="1:10" x14ac:dyDescent="0.35">
      <c r="B632" t="s">
        <v>1426</v>
      </c>
      <c r="C632" t="s">
        <v>25</v>
      </c>
      <c r="D632" t="s">
        <v>1435</v>
      </c>
      <c r="E632" t="s">
        <v>13</v>
      </c>
      <c r="F632">
        <v>32</v>
      </c>
      <c r="G632">
        <v>16</v>
      </c>
      <c r="H632" s="1" t="s">
        <v>1428</v>
      </c>
      <c r="I632" t="s">
        <v>15</v>
      </c>
      <c r="J632">
        <v>32</v>
      </c>
    </row>
    <row r="633" spans="1:10" x14ac:dyDescent="0.35">
      <c r="B633" t="s">
        <v>1426</v>
      </c>
      <c r="C633" t="s">
        <v>33</v>
      </c>
      <c r="D633" t="s">
        <v>1436</v>
      </c>
      <c r="E633" t="s">
        <v>13</v>
      </c>
      <c r="F633">
        <v>32</v>
      </c>
      <c r="G633">
        <v>16</v>
      </c>
      <c r="H633" s="1" t="s">
        <v>1428</v>
      </c>
      <c r="I633" t="s">
        <v>15</v>
      </c>
      <c r="J633">
        <v>32</v>
      </c>
    </row>
    <row r="634" spans="1:10" x14ac:dyDescent="0.35">
      <c r="B634" t="s">
        <v>1437</v>
      </c>
      <c r="C634" t="s">
        <v>11</v>
      </c>
      <c r="D634" t="s">
        <v>1438</v>
      </c>
      <c r="E634" t="s">
        <v>402</v>
      </c>
      <c r="F634">
        <v>174</v>
      </c>
      <c r="G634">
        <v>87</v>
      </c>
      <c r="H634" s="1" t="s">
        <v>1439</v>
      </c>
      <c r="I634" t="s">
        <v>15</v>
      </c>
      <c r="J634">
        <v>174</v>
      </c>
    </row>
    <row r="635" spans="1:10" x14ac:dyDescent="0.35">
      <c r="B635" t="s">
        <v>1437</v>
      </c>
      <c r="C635" t="s">
        <v>25</v>
      </c>
      <c r="D635" t="s">
        <v>1440</v>
      </c>
      <c r="E635" t="s">
        <v>402</v>
      </c>
      <c r="F635">
        <v>174</v>
      </c>
      <c r="G635">
        <v>87</v>
      </c>
      <c r="H635" t="s">
        <v>1439</v>
      </c>
      <c r="I635" t="s">
        <v>15</v>
      </c>
      <c r="J635">
        <v>174</v>
      </c>
    </row>
    <row r="636" spans="1:10" x14ac:dyDescent="0.35">
      <c r="B636" t="s">
        <v>1441</v>
      </c>
      <c r="C636" t="s">
        <v>25</v>
      </c>
      <c r="D636" t="s">
        <v>1442</v>
      </c>
      <c r="E636" t="s">
        <v>970</v>
      </c>
      <c r="F636">
        <v>216</v>
      </c>
      <c r="G636">
        <v>108</v>
      </c>
      <c r="H636" t="s">
        <v>1443</v>
      </c>
      <c r="I636" t="s">
        <v>15</v>
      </c>
      <c r="J636">
        <v>216</v>
      </c>
    </row>
    <row r="637" spans="1:10" x14ac:dyDescent="0.35">
      <c r="B637" t="s">
        <v>1441</v>
      </c>
      <c r="C637" t="s">
        <v>11</v>
      </c>
      <c r="D637" t="s">
        <v>1444</v>
      </c>
      <c r="E637" t="s">
        <v>970</v>
      </c>
      <c r="F637">
        <v>216</v>
      </c>
      <c r="G637">
        <v>108</v>
      </c>
      <c r="H637" s="1" t="s">
        <v>1445</v>
      </c>
      <c r="I637" t="s">
        <v>15</v>
      </c>
      <c r="J637">
        <v>216</v>
      </c>
    </row>
    <row r="638" spans="1:10" x14ac:dyDescent="0.35">
      <c r="B638" t="s">
        <v>1446</v>
      </c>
      <c r="C638" t="s">
        <v>11</v>
      </c>
      <c r="D638" t="s">
        <v>1447</v>
      </c>
      <c r="E638" t="s">
        <v>13</v>
      </c>
      <c r="F638">
        <v>32</v>
      </c>
      <c r="G638">
        <v>16</v>
      </c>
      <c r="H638" s="1" t="s">
        <v>1428</v>
      </c>
      <c r="I638" t="s">
        <v>15</v>
      </c>
      <c r="J638">
        <v>32</v>
      </c>
    </row>
    <row r="639" spans="1:10" x14ac:dyDescent="0.35">
      <c r="A639">
        <v>5374928</v>
      </c>
      <c r="B639" t="s">
        <v>1448</v>
      </c>
      <c r="C639" t="s">
        <v>11</v>
      </c>
      <c r="D639" t="s">
        <v>1449</v>
      </c>
      <c r="E639" t="s">
        <v>13</v>
      </c>
      <c r="F639">
        <v>60</v>
      </c>
      <c r="G639">
        <v>30</v>
      </c>
      <c r="H639" s="1" t="s">
        <v>1450</v>
      </c>
      <c r="I639" t="s">
        <v>15</v>
      </c>
      <c r="J639">
        <v>60</v>
      </c>
    </row>
    <row r="640" spans="1:10" x14ac:dyDescent="0.35">
      <c r="A640">
        <v>5374928</v>
      </c>
      <c r="B640" t="s">
        <v>1448</v>
      </c>
      <c r="C640" t="s">
        <v>281</v>
      </c>
      <c r="D640" t="s">
        <v>1451</v>
      </c>
      <c r="E640" t="s">
        <v>13</v>
      </c>
      <c r="F640">
        <v>60</v>
      </c>
      <c r="G640">
        <v>30</v>
      </c>
      <c r="H640" s="1" t="s">
        <v>1450</v>
      </c>
      <c r="I640" t="s">
        <v>15</v>
      </c>
      <c r="J640">
        <v>60</v>
      </c>
    </row>
    <row r="641" spans="1:10" x14ac:dyDescent="0.35">
      <c r="A641">
        <v>5311063</v>
      </c>
      <c r="B641" t="s">
        <v>1452</v>
      </c>
      <c r="C641" t="s">
        <v>11</v>
      </c>
      <c r="D641" t="s">
        <v>1453</v>
      </c>
      <c r="E641" t="s">
        <v>402</v>
      </c>
      <c r="F641">
        <v>136</v>
      </c>
      <c r="G641">
        <v>68</v>
      </c>
      <c r="H641" s="1" t="s">
        <v>1454</v>
      </c>
      <c r="I641" t="s">
        <v>15</v>
      </c>
      <c r="J641">
        <v>136</v>
      </c>
    </row>
    <row r="642" spans="1:10" x14ac:dyDescent="0.35">
      <c r="B642" t="s">
        <v>1455</v>
      </c>
      <c r="C642" t="s">
        <v>11</v>
      </c>
      <c r="D642" t="s">
        <v>1456</v>
      </c>
      <c r="E642" t="s">
        <v>415</v>
      </c>
      <c r="F642">
        <v>228</v>
      </c>
      <c r="G642">
        <v>114</v>
      </c>
      <c r="H642" t="s">
        <v>1457</v>
      </c>
      <c r="I642" t="s">
        <v>15</v>
      </c>
      <c r="J642">
        <v>228</v>
      </c>
    </row>
    <row r="643" spans="1:10" x14ac:dyDescent="0.35">
      <c r="A643">
        <v>1139584</v>
      </c>
      <c r="B643" t="s">
        <v>1458</v>
      </c>
      <c r="C643" t="s">
        <v>11</v>
      </c>
      <c r="D643" t="s">
        <v>1459</v>
      </c>
      <c r="E643" t="s">
        <v>288</v>
      </c>
      <c r="F643">
        <v>368</v>
      </c>
      <c r="G643">
        <v>182</v>
      </c>
      <c r="H643" t="s">
        <v>1460</v>
      </c>
      <c r="I643" t="s">
        <v>20</v>
      </c>
      <c r="J643">
        <v>368</v>
      </c>
    </row>
    <row r="644" spans="1:10" x14ac:dyDescent="0.35">
      <c r="B644" t="s">
        <v>1455</v>
      </c>
      <c r="C644" t="s">
        <v>25</v>
      </c>
      <c r="D644" t="s">
        <v>1461</v>
      </c>
      <c r="E644" t="s">
        <v>415</v>
      </c>
      <c r="F644">
        <v>228</v>
      </c>
      <c r="G644">
        <v>114</v>
      </c>
      <c r="H644" t="s">
        <v>1457</v>
      </c>
      <c r="I644" t="s">
        <v>15</v>
      </c>
      <c r="J644">
        <v>228</v>
      </c>
    </row>
    <row r="645" spans="1:10" x14ac:dyDescent="0.35">
      <c r="A645">
        <v>1139584</v>
      </c>
      <c r="B645" t="s">
        <v>1458</v>
      </c>
      <c r="C645" t="s">
        <v>25</v>
      </c>
      <c r="D645" t="s">
        <v>1462</v>
      </c>
      <c r="E645" t="s">
        <v>288</v>
      </c>
      <c r="F645">
        <v>368</v>
      </c>
      <c r="G645">
        <v>182</v>
      </c>
      <c r="H645" t="s">
        <v>1460</v>
      </c>
      <c r="I645" t="s">
        <v>20</v>
      </c>
      <c r="J645">
        <v>368</v>
      </c>
    </row>
    <row r="646" spans="1:10" x14ac:dyDescent="0.35">
      <c r="A646">
        <v>30063</v>
      </c>
      <c r="B646" t="s">
        <v>1463</v>
      </c>
      <c r="C646" t="s">
        <v>11</v>
      </c>
      <c r="D646" t="s">
        <v>1464</v>
      </c>
      <c r="E646" t="s">
        <v>203</v>
      </c>
      <c r="F646">
        <v>262</v>
      </c>
      <c r="G646">
        <v>132</v>
      </c>
      <c r="H646" t="s">
        <v>1465</v>
      </c>
      <c r="I646" t="s">
        <v>20</v>
      </c>
      <c r="J646">
        <v>262</v>
      </c>
    </row>
    <row r="647" spans="1:10" x14ac:dyDescent="0.35">
      <c r="A647">
        <v>29896</v>
      </c>
      <c r="B647" t="s">
        <v>1466</v>
      </c>
      <c r="C647" t="s">
        <v>25</v>
      </c>
      <c r="D647" t="s">
        <v>1467</v>
      </c>
      <c r="E647" t="s">
        <v>196</v>
      </c>
      <c r="F647">
        <v>288</v>
      </c>
      <c r="G647">
        <v>145</v>
      </c>
      <c r="H647" t="s">
        <v>1468</v>
      </c>
      <c r="I647" t="s">
        <v>20</v>
      </c>
      <c r="J647">
        <v>288</v>
      </c>
    </row>
    <row r="648" spans="1:10" x14ac:dyDescent="0.35">
      <c r="A648">
        <v>29896</v>
      </c>
      <c r="B648" t="s">
        <v>1466</v>
      </c>
      <c r="C648" t="s">
        <v>11</v>
      </c>
      <c r="D648" t="s">
        <v>1469</v>
      </c>
      <c r="E648" t="s">
        <v>196</v>
      </c>
      <c r="F648">
        <v>288</v>
      </c>
      <c r="G648">
        <v>145</v>
      </c>
      <c r="H648" t="s">
        <v>1470</v>
      </c>
      <c r="I648" t="s">
        <v>20</v>
      </c>
      <c r="J648">
        <v>288</v>
      </c>
    </row>
    <row r="649" spans="1:10" x14ac:dyDescent="0.35">
      <c r="A649">
        <v>29896</v>
      </c>
      <c r="B649" t="s">
        <v>1466</v>
      </c>
      <c r="C649" t="s">
        <v>33</v>
      </c>
      <c r="D649" t="s">
        <v>1471</v>
      </c>
      <c r="E649" t="s">
        <v>196</v>
      </c>
      <c r="F649">
        <v>288</v>
      </c>
      <c r="G649">
        <v>145</v>
      </c>
      <c r="H649" t="s">
        <v>1472</v>
      </c>
      <c r="I649" t="s">
        <v>20</v>
      </c>
      <c r="J649">
        <v>288</v>
      </c>
    </row>
    <row r="650" spans="1:10" x14ac:dyDescent="0.35">
      <c r="B650" t="s">
        <v>1473</v>
      </c>
      <c r="C650" t="s">
        <v>277</v>
      </c>
      <c r="D650" t="s">
        <v>1474</v>
      </c>
      <c r="E650" t="s">
        <v>70</v>
      </c>
      <c r="F650">
        <v>211</v>
      </c>
      <c r="G650">
        <v>111</v>
      </c>
      <c r="H650" t="s">
        <v>1475</v>
      </c>
      <c r="I650" t="s">
        <v>15</v>
      </c>
      <c r="J650">
        <v>211</v>
      </c>
    </row>
    <row r="651" spans="1:10" x14ac:dyDescent="0.35">
      <c r="B651" t="s">
        <v>1473</v>
      </c>
      <c r="C651" t="s">
        <v>281</v>
      </c>
      <c r="D651" t="s">
        <v>1476</v>
      </c>
      <c r="E651" t="s">
        <v>70</v>
      </c>
      <c r="F651">
        <v>211</v>
      </c>
      <c r="G651">
        <v>111</v>
      </c>
      <c r="H651" t="s">
        <v>1475</v>
      </c>
      <c r="I651" t="s">
        <v>15</v>
      </c>
      <c r="J651">
        <v>211</v>
      </c>
    </row>
    <row r="652" spans="1:10" x14ac:dyDescent="0.35">
      <c r="B652" t="s">
        <v>1473</v>
      </c>
      <c r="C652" t="s">
        <v>1225</v>
      </c>
      <c r="D652" t="s">
        <v>1477</v>
      </c>
      <c r="E652" t="s">
        <v>70</v>
      </c>
      <c r="F652">
        <v>211</v>
      </c>
      <c r="G652">
        <v>111</v>
      </c>
      <c r="H652" t="s">
        <v>1475</v>
      </c>
      <c r="I652" t="s">
        <v>15</v>
      </c>
      <c r="J652">
        <v>211</v>
      </c>
    </row>
    <row r="653" spans="1:10" x14ac:dyDescent="0.35">
      <c r="B653" t="s">
        <v>1473</v>
      </c>
      <c r="C653" t="s">
        <v>1230</v>
      </c>
      <c r="D653" t="s">
        <v>1478</v>
      </c>
      <c r="E653" t="s">
        <v>70</v>
      </c>
      <c r="F653">
        <v>211</v>
      </c>
      <c r="G653">
        <v>111</v>
      </c>
      <c r="H653" t="s">
        <v>1475</v>
      </c>
      <c r="I653" t="s">
        <v>15</v>
      </c>
      <c r="J653">
        <v>211</v>
      </c>
    </row>
    <row r="654" spans="1:10" x14ac:dyDescent="0.35">
      <c r="A654">
        <v>30084</v>
      </c>
      <c r="B654" t="s">
        <v>718</v>
      </c>
      <c r="C654" t="s">
        <v>1230</v>
      </c>
      <c r="D654" t="s">
        <v>1479</v>
      </c>
      <c r="E654" t="s">
        <v>59</v>
      </c>
      <c r="F654">
        <v>250</v>
      </c>
      <c r="G654">
        <v>126</v>
      </c>
      <c r="H654" t="s">
        <v>720</v>
      </c>
      <c r="I654" t="s">
        <v>20</v>
      </c>
      <c r="J654">
        <v>250</v>
      </c>
    </row>
    <row r="655" spans="1:10" x14ac:dyDescent="0.35">
      <c r="A655">
        <v>6354475</v>
      </c>
      <c r="B655" t="s">
        <v>1151</v>
      </c>
      <c r="C655" t="s">
        <v>1225</v>
      </c>
      <c r="D655" t="s">
        <v>1480</v>
      </c>
      <c r="E655" t="s">
        <v>1481</v>
      </c>
      <c r="F655">
        <v>96</v>
      </c>
      <c r="G655">
        <v>48</v>
      </c>
      <c r="H655" t="s">
        <v>1482</v>
      </c>
      <c r="I655" t="s">
        <v>15</v>
      </c>
      <c r="J655">
        <v>96</v>
      </c>
    </row>
    <row r="656" spans="1:10" x14ac:dyDescent="0.35">
      <c r="A656">
        <v>6354475</v>
      </c>
      <c r="B656" t="s">
        <v>1151</v>
      </c>
      <c r="C656" t="s">
        <v>1230</v>
      </c>
      <c r="D656" t="s">
        <v>1483</v>
      </c>
      <c r="E656" t="s">
        <v>1481</v>
      </c>
      <c r="F656">
        <v>96</v>
      </c>
      <c r="G656">
        <v>48</v>
      </c>
      <c r="H656" t="s">
        <v>1482</v>
      </c>
      <c r="I656" t="s">
        <v>15</v>
      </c>
      <c r="J656">
        <v>96</v>
      </c>
    </row>
    <row r="657" spans="2:10" x14ac:dyDescent="0.35">
      <c r="B657" t="s">
        <v>1484</v>
      </c>
      <c r="C657" t="s">
        <v>277</v>
      </c>
      <c r="D657" t="s">
        <v>1485</v>
      </c>
      <c r="E657" t="s">
        <v>1486</v>
      </c>
      <c r="F657">
        <v>262</v>
      </c>
      <c r="G657">
        <v>131</v>
      </c>
      <c r="H657" t="s">
        <v>1487</v>
      </c>
      <c r="I657" t="s">
        <v>15</v>
      </c>
      <c r="J657">
        <v>262</v>
      </c>
    </row>
    <row r="658" spans="2:10" x14ac:dyDescent="0.35">
      <c r="B658" t="s">
        <v>1488</v>
      </c>
      <c r="C658" t="s">
        <v>277</v>
      </c>
      <c r="D658" t="s">
        <v>1489</v>
      </c>
      <c r="E658" t="s">
        <v>410</v>
      </c>
      <c r="F658">
        <v>152</v>
      </c>
      <c r="G658">
        <v>76</v>
      </c>
      <c r="H658" s="1" t="s">
        <v>1490</v>
      </c>
      <c r="I658" t="s">
        <v>15</v>
      </c>
      <c r="J658">
        <v>152</v>
      </c>
    </row>
    <row r="659" spans="2:10" x14ac:dyDescent="0.35">
      <c r="B659" t="s">
        <v>1176</v>
      </c>
      <c r="C659" t="s">
        <v>1225</v>
      </c>
      <c r="D659" t="s">
        <v>1491</v>
      </c>
      <c r="E659" t="s">
        <v>247</v>
      </c>
      <c r="F659">
        <v>386</v>
      </c>
      <c r="G659">
        <v>193</v>
      </c>
      <c r="H659" s="1" t="s">
        <v>1180</v>
      </c>
      <c r="I659" t="s">
        <v>20</v>
      </c>
      <c r="J659">
        <v>386</v>
      </c>
    </row>
    <row r="660" spans="2:10" x14ac:dyDescent="0.35">
      <c r="B660" t="s">
        <v>1484</v>
      </c>
      <c r="C660" t="s">
        <v>281</v>
      </c>
      <c r="D660" t="s">
        <v>1492</v>
      </c>
      <c r="E660" t="s">
        <v>1486</v>
      </c>
      <c r="F660">
        <v>262</v>
      </c>
      <c r="G660">
        <v>131</v>
      </c>
      <c r="H660" t="s">
        <v>1487</v>
      </c>
      <c r="I660" t="s">
        <v>15</v>
      </c>
      <c r="J660">
        <v>262</v>
      </c>
    </row>
    <row r="661" spans="2:10" x14ac:dyDescent="0.35">
      <c r="B661" t="s">
        <v>1493</v>
      </c>
      <c r="C661" t="s">
        <v>277</v>
      </c>
      <c r="D661" t="s">
        <v>1494</v>
      </c>
      <c r="E661" t="s">
        <v>39</v>
      </c>
      <c r="F661">
        <v>242</v>
      </c>
      <c r="G661">
        <v>121</v>
      </c>
      <c r="H661" s="1" t="s">
        <v>1495</v>
      </c>
      <c r="I661" t="s">
        <v>20</v>
      </c>
      <c r="J661">
        <v>242</v>
      </c>
    </row>
    <row r="662" spans="2:10" x14ac:dyDescent="0.35">
      <c r="B662" t="s">
        <v>1493</v>
      </c>
      <c r="C662" t="s">
        <v>281</v>
      </c>
      <c r="D662" t="s">
        <v>1496</v>
      </c>
      <c r="E662" t="s">
        <v>39</v>
      </c>
      <c r="F662">
        <v>242</v>
      </c>
      <c r="G662">
        <v>121</v>
      </c>
      <c r="H662" s="1" t="s">
        <v>1495</v>
      </c>
      <c r="I662" t="s">
        <v>20</v>
      </c>
      <c r="J662">
        <v>242</v>
      </c>
    </row>
    <row r="663" spans="2:10" x14ac:dyDescent="0.35">
      <c r="B663" t="s">
        <v>1497</v>
      </c>
      <c r="C663" t="s">
        <v>277</v>
      </c>
      <c r="D663" t="s">
        <v>1498</v>
      </c>
      <c r="E663" t="s">
        <v>1499</v>
      </c>
      <c r="F663">
        <v>352</v>
      </c>
      <c r="G663">
        <v>176</v>
      </c>
      <c r="H663" t="s">
        <v>1500</v>
      </c>
      <c r="I663" t="s">
        <v>15</v>
      </c>
      <c r="J663">
        <v>352</v>
      </c>
    </row>
    <row r="664" spans="2:10" x14ac:dyDescent="0.35">
      <c r="B664" t="s">
        <v>1501</v>
      </c>
      <c r="C664" t="s">
        <v>277</v>
      </c>
      <c r="D664" t="s">
        <v>1502</v>
      </c>
      <c r="E664" t="s">
        <v>1499</v>
      </c>
      <c r="F664">
        <v>354</v>
      </c>
      <c r="G664">
        <v>177</v>
      </c>
      <c r="H664" t="s">
        <v>1503</v>
      </c>
      <c r="I664" t="s">
        <v>15</v>
      </c>
      <c r="J664">
        <v>354</v>
      </c>
    </row>
    <row r="665" spans="2:10" x14ac:dyDescent="0.35">
      <c r="B665" t="s">
        <v>1501</v>
      </c>
      <c r="C665" t="s">
        <v>281</v>
      </c>
      <c r="D665" t="s">
        <v>1504</v>
      </c>
      <c r="E665" t="s">
        <v>1499</v>
      </c>
      <c r="F665">
        <v>354</v>
      </c>
      <c r="G665">
        <v>177</v>
      </c>
      <c r="H665" t="s">
        <v>1503</v>
      </c>
      <c r="I665" t="s">
        <v>15</v>
      </c>
      <c r="J665">
        <v>354</v>
      </c>
    </row>
    <row r="666" spans="2:10" x14ac:dyDescent="0.35">
      <c r="B666" t="s">
        <v>1501</v>
      </c>
      <c r="C666" t="s">
        <v>1225</v>
      </c>
      <c r="D666" t="s">
        <v>1505</v>
      </c>
      <c r="E666" t="s">
        <v>1499</v>
      </c>
      <c r="F666">
        <v>354</v>
      </c>
      <c r="G666">
        <v>177</v>
      </c>
      <c r="H666" t="s">
        <v>1503</v>
      </c>
      <c r="I666" t="s">
        <v>15</v>
      </c>
      <c r="J666">
        <v>354</v>
      </c>
    </row>
    <row r="667" spans="2:10" x14ac:dyDescent="0.35">
      <c r="B667" t="s">
        <v>1506</v>
      </c>
      <c r="C667" t="s">
        <v>277</v>
      </c>
      <c r="D667" t="s">
        <v>1507</v>
      </c>
      <c r="E667" t="s">
        <v>1499</v>
      </c>
      <c r="F667">
        <v>362</v>
      </c>
      <c r="G667">
        <v>181</v>
      </c>
      <c r="H667" t="s">
        <v>1508</v>
      </c>
      <c r="I667" t="s">
        <v>15</v>
      </c>
      <c r="J667">
        <v>362</v>
      </c>
    </row>
    <row r="668" spans="2:10" x14ac:dyDescent="0.35">
      <c r="B668" t="s">
        <v>1506</v>
      </c>
      <c r="C668" t="s">
        <v>281</v>
      </c>
      <c r="D668" t="s">
        <v>1509</v>
      </c>
      <c r="E668" t="s">
        <v>1499</v>
      </c>
      <c r="F668">
        <v>362</v>
      </c>
      <c r="G668">
        <v>181</v>
      </c>
      <c r="H668" t="s">
        <v>1508</v>
      </c>
      <c r="I668" t="s">
        <v>15</v>
      </c>
      <c r="J668">
        <v>362</v>
      </c>
    </row>
    <row r="669" spans="2:10" x14ac:dyDescent="0.35">
      <c r="B669" t="s">
        <v>1510</v>
      </c>
      <c r="C669" t="s">
        <v>277</v>
      </c>
      <c r="D669" t="s">
        <v>1511</v>
      </c>
      <c r="E669" t="s">
        <v>1499</v>
      </c>
      <c r="F669">
        <v>355</v>
      </c>
      <c r="G669">
        <v>177</v>
      </c>
      <c r="H669" t="s">
        <v>1512</v>
      </c>
      <c r="I669" t="s">
        <v>15</v>
      </c>
      <c r="J669">
        <v>355</v>
      </c>
    </row>
    <row r="670" spans="2:10" x14ac:dyDescent="0.35">
      <c r="B670" t="s">
        <v>1510</v>
      </c>
      <c r="C670" t="s">
        <v>281</v>
      </c>
      <c r="D670" t="s">
        <v>1513</v>
      </c>
      <c r="E670" t="s">
        <v>1499</v>
      </c>
      <c r="F670">
        <v>355</v>
      </c>
      <c r="G670">
        <v>177</v>
      </c>
      <c r="H670" t="s">
        <v>1512</v>
      </c>
      <c r="I670" t="s">
        <v>15</v>
      </c>
      <c r="J670">
        <v>355</v>
      </c>
    </row>
    <row r="671" spans="2:10" x14ac:dyDescent="0.35">
      <c r="B671" t="s">
        <v>1514</v>
      </c>
      <c r="C671" t="s">
        <v>277</v>
      </c>
      <c r="D671" t="s">
        <v>1515</v>
      </c>
      <c r="E671" t="s">
        <v>1499</v>
      </c>
      <c r="F671">
        <v>355</v>
      </c>
      <c r="G671">
        <v>177</v>
      </c>
      <c r="H671" t="s">
        <v>1516</v>
      </c>
      <c r="I671" t="s">
        <v>15</v>
      </c>
      <c r="J671">
        <v>355</v>
      </c>
    </row>
    <row r="672" spans="2:10" x14ac:dyDescent="0.35">
      <c r="B672" t="s">
        <v>1514</v>
      </c>
      <c r="C672" t="s">
        <v>281</v>
      </c>
      <c r="D672" t="s">
        <v>1517</v>
      </c>
      <c r="E672" t="s">
        <v>1499</v>
      </c>
      <c r="F672">
        <v>355</v>
      </c>
      <c r="G672">
        <v>177</v>
      </c>
      <c r="H672" t="s">
        <v>1516</v>
      </c>
      <c r="I672" t="s">
        <v>15</v>
      </c>
      <c r="J672">
        <v>355</v>
      </c>
    </row>
    <row r="673" spans="2:10" x14ac:dyDescent="0.35">
      <c r="B673" t="s">
        <v>1518</v>
      </c>
      <c r="C673" t="s">
        <v>277</v>
      </c>
      <c r="D673" t="s">
        <v>1519</v>
      </c>
      <c r="E673" t="s">
        <v>1499</v>
      </c>
      <c r="F673">
        <v>355</v>
      </c>
      <c r="G673">
        <v>177</v>
      </c>
      <c r="H673" t="s">
        <v>1516</v>
      </c>
      <c r="I673" t="s">
        <v>15</v>
      </c>
      <c r="J673">
        <v>355</v>
      </c>
    </row>
    <row r="674" spans="2:10" x14ac:dyDescent="0.35">
      <c r="B674" t="s">
        <v>1520</v>
      </c>
      <c r="C674" t="s">
        <v>277</v>
      </c>
      <c r="D674" t="s">
        <v>1521</v>
      </c>
      <c r="E674" t="s">
        <v>1499</v>
      </c>
      <c r="F674">
        <v>360</v>
      </c>
      <c r="G674">
        <v>180</v>
      </c>
      <c r="H674" t="s">
        <v>1522</v>
      </c>
      <c r="I674" t="s">
        <v>15</v>
      </c>
      <c r="J674">
        <v>360</v>
      </c>
    </row>
    <row r="675" spans="2:10" x14ac:dyDescent="0.35">
      <c r="B675" t="s">
        <v>1523</v>
      </c>
      <c r="C675" t="s">
        <v>277</v>
      </c>
      <c r="D675" t="s">
        <v>1524</v>
      </c>
      <c r="E675" t="s">
        <v>1499</v>
      </c>
      <c r="F675">
        <v>360</v>
      </c>
      <c r="G675">
        <v>180</v>
      </c>
      <c r="H675" t="s">
        <v>1525</v>
      </c>
      <c r="I675" t="s">
        <v>15</v>
      </c>
      <c r="J675">
        <v>360</v>
      </c>
    </row>
    <row r="676" spans="2:10" x14ac:dyDescent="0.35">
      <c r="B676" t="s">
        <v>1526</v>
      </c>
      <c r="C676" t="s">
        <v>277</v>
      </c>
      <c r="D676" t="s">
        <v>1527</v>
      </c>
      <c r="E676" t="s">
        <v>1528</v>
      </c>
      <c r="F676">
        <v>322</v>
      </c>
      <c r="G676">
        <v>157</v>
      </c>
      <c r="H676" t="s">
        <v>1529</v>
      </c>
      <c r="I676" t="s">
        <v>20</v>
      </c>
      <c r="J676">
        <v>322</v>
      </c>
    </row>
    <row r="677" spans="2:10" x14ac:dyDescent="0.35">
      <c r="B677" t="s">
        <v>1526</v>
      </c>
      <c r="C677" t="s">
        <v>281</v>
      </c>
      <c r="D677" t="s">
        <v>1530</v>
      </c>
      <c r="E677" t="s">
        <v>1528</v>
      </c>
      <c r="F677">
        <v>322</v>
      </c>
      <c r="G677">
        <v>157</v>
      </c>
      <c r="H677" t="s">
        <v>1529</v>
      </c>
      <c r="I677" t="s">
        <v>20</v>
      </c>
      <c r="J677">
        <v>322</v>
      </c>
    </row>
    <row r="678" spans="2:10" x14ac:dyDescent="0.35">
      <c r="B678" t="s">
        <v>1526</v>
      </c>
      <c r="C678" t="s">
        <v>277</v>
      </c>
      <c r="D678" t="s">
        <v>1531</v>
      </c>
      <c r="E678" t="s">
        <v>1528</v>
      </c>
      <c r="F678">
        <v>322</v>
      </c>
      <c r="G678">
        <v>157</v>
      </c>
      <c r="H678" t="s">
        <v>1529</v>
      </c>
      <c r="I678" t="s">
        <v>20</v>
      </c>
      <c r="J678">
        <v>322</v>
      </c>
    </row>
    <row r="679" spans="2:10" x14ac:dyDescent="0.35">
      <c r="B679" t="s">
        <v>1526</v>
      </c>
      <c r="C679" t="s">
        <v>281</v>
      </c>
      <c r="D679" t="s">
        <v>1532</v>
      </c>
      <c r="E679" t="s">
        <v>1528</v>
      </c>
      <c r="F679">
        <v>322</v>
      </c>
      <c r="G679">
        <v>157</v>
      </c>
      <c r="H679" t="s">
        <v>1529</v>
      </c>
      <c r="I679" t="s">
        <v>20</v>
      </c>
      <c r="J679">
        <v>322</v>
      </c>
    </row>
    <row r="680" spans="2:10" x14ac:dyDescent="0.35">
      <c r="B680" t="s">
        <v>1526</v>
      </c>
      <c r="C680" t="s">
        <v>277</v>
      </c>
      <c r="D680" t="s">
        <v>1533</v>
      </c>
      <c r="E680" t="s">
        <v>1528</v>
      </c>
      <c r="F680">
        <v>322</v>
      </c>
      <c r="G680">
        <v>157</v>
      </c>
      <c r="H680" t="s">
        <v>1529</v>
      </c>
      <c r="I680" t="s">
        <v>20</v>
      </c>
      <c r="J680">
        <v>322</v>
      </c>
    </row>
    <row r="681" spans="2:10" x14ac:dyDescent="0.35">
      <c r="B681" t="s">
        <v>1526</v>
      </c>
      <c r="C681" t="s">
        <v>281</v>
      </c>
      <c r="D681" t="s">
        <v>1534</v>
      </c>
      <c r="E681" t="s">
        <v>1528</v>
      </c>
      <c r="F681">
        <v>322</v>
      </c>
      <c r="G681">
        <v>157</v>
      </c>
      <c r="H681" t="s">
        <v>1529</v>
      </c>
      <c r="I681" t="s">
        <v>20</v>
      </c>
      <c r="J681">
        <v>322</v>
      </c>
    </row>
    <row r="682" spans="2:10" x14ac:dyDescent="0.35">
      <c r="B682" t="s">
        <v>1526</v>
      </c>
      <c r="C682" t="s">
        <v>277</v>
      </c>
      <c r="D682" t="s">
        <v>1535</v>
      </c>
      <c r="E682" t="s">
        <v>1528</v>
      </c>
      <c r="F682">
        <v>322</v>
      </c>
      <c r="G682">
        <v>157</v>
      </c>
      <c r="H682" t="s">
        <v>1529</v>
      </c>
      <c r="I682" t="s">
        <v>20</v>
      </c>
      <c r="J682">
        <v>322</v>
      </c>
    </row>
    <row r="683" spans="2:10" x14ac:dyDescent="0.35">
      <c r="B683" t="s">
        <v>1526</v>
      </c>
      <c r="C683" t="s">
        <v>281</v>
      </c>
      <c r="D683" t="s">
        <v>1536</v>
      </c>
      <c r="E683" t="s">
        <v>1528</v>
      </c>
      <c r="F683">
        <v>322</v>
      </c>
      <c r="G683">
        <v>157</v>
      </c>
      <c r="H683" t="s">
        <v>1529</v>
      </c>
      <c r="I683" t="s">
        <v>20</v>
      </c>
      <c r="J683">
        <v>322</v>
      </c>
    </row>
    <row r="684" spans="2:10" x14ac:dyDescent="0.35">
      <c r="B684" t="s">
        <v>1526</v>
      </c>
      <c r="C684" t="s">
        <v>1225</v>
      </c>
      <c r="D684" t="s">
        <v>1537</v>
      </c>
      <c r="E684" t="s">
        <v>1538</v>
      </c>
      <c r="F684">
        <v>425</v>
      </c>
      <c r="G684">
        <v>212</v>
      </c>
      <c r="H684" t="s">
        <v>1539</v>
      </c>
      <c r="I684" t="s">
        <v>20</v>
      </c>
    </row>
    <row r="685" spans="2:10" x14ac:dyDescent="0.35">
      <c r="B685" t="s">
        <v>1526</v>
      </c>
      <c r="C685" t="s">
        <v>277</v>
      </c>
      <c r="D685" t="s">
        <v>1540</v>
      </c>
      <c r="E685" t="s">
        <v>1541</v>
      </c>
      <c r="F685">
        <v>274</v>
      </c>
      <c r="G685">
        <v>137</v>
      </c>
      <c r="H685" t="s">
        <v>1542</v>
      </c>
      <c r="I685" t="s">
        <v>20</v>
      </c>
    </row>
    <row r="686" spans="2:10" x14ac:dyDescent="0.35">
      <c r="B686" t="s">
        <v>1526</v>
      </c>
      <c r="C686" t="s">
        <v>281</v>
      </c>
      <c r="D686" t="s">
        <v>1543</v>
      </c>
      <c r="E686" t="s">
        <v>1541</v>
      </c>
      <c r="F686">
        <v>274</v>
      </c>
      <c r="G686">
        <v>137</v>
      </c>
      <c r="H686" t="s">
        <v>1542</v>
      </c>
      <c r="I686" t="s">
        <v>20</v>
      </c>
    </row>
    <row r="687" spans="2:10" x14ac:dyDescent="0.35">
      <c r="B687" t="s">
        <v>1526</v>
      </c>
      <c r="C687" t="s">
        <v>1225</v>
      </c>
      <c r="D687" t="s">
        <v>1544</v>
      </c>
      <c r="E687" t="s">
        <v>1541</v>
      </c>
      <c r="F687">
        <v>274</v>
      </c>
      <c r="G687">
        <v>137</v>
      </c>
      <c r="H687" t="s">
        <v>1542</v>
      </c>
      <c r="I687" t="s">
        <v>20</v>
      </c>
    </row>
    <row r="688" spans="2:10" x14ac:dyDescent="0.35">
      <c r="B688" t="s">
        <v>1526</v>
      </c>
      <c r="C688" t="s">
        <v>277</v>
      </c>
      <c r="D688" t="s">
        <v>1545</v>
      </c>
      <c r="E688" t="s">
        <v>1528</v>
      </c>
      <c r="F688">
        <v>322</v>
      </c>
      <c r="G688">
        <v>157</v>
      </c>
      <c r="H688" t="s">
        <v>1529</v>
      </c>
      <c r="I688" t="s">
        <v>20</v>
      </c>
    </row>
    <row r="689" spans="1:10" x14ac:dyDescent="0.35">
      <c r="B689" t="s">
        <v>1526</v>
      </c>
      <c r="C689" t="s">
        <v>281</v>
      </c>
      <c r="D689" t="s">
        <v>1546</v>
      </c>
      <c r="E689" t="s">
        <v>1528</v>
      </c>
      <c r="F689">
        <v>322</v>
      </c>
      <c r="G689">
        <v>157</v>
      </c>
      <c r="H689" t="s">
        <v>1529</v>
      </c>
      <c r="I689" t="s">
        <v>20</v>
      </c>
    </row>
    <row r="690" spans="1:10" x14ac:dyDescent="0.35">
      <c r="B690" t="s">
        <v>1526</v>
      </c>
      <c r="C690" t="s">
        <v>277</v>
      </c>
      <c r="D690" t="s">
        <v>1547</v>
      </c>
      <c r="E690" t="s">
        <v>1528</v>
      </c>
      <c r="F690">
        <v>298</v>
      </c>
      <c r="G690">
        <v>149</v>
      </c>
      <c r="H690" t="s">
        <v>1548</v>
      </c>
      <c r="I690" t="s">
        <v>20</v>
      </c>
    </row>
    <row r="691" spans="1:10" x14ac:dyDescent="0.35">
      <c r="B691" t="s">
        <v>1526</v>
      </c>
      <c r="C691" t="s">
        <v>277</v>
      </c>
      <c r="D691" t="s">
        <v>1549</v>
      </c>
      <c r="E691" t="s">
        <v>1528</v>
      </c>
      <c r="F691">
        <v>298</v>
      </c>
      <c r="G691">
        <v>149</v>
      </c>
      <c r="H691" t="s">
        <v>1548</v>
      </c>
      <c r="I691" t="s">
        <v>20</v>
      </c>
    </row>
    <row r="692" spans="1:10" x14ac:dyDescent="0.35">
      <c r="B692" t="s">
        <v>1526</v>
      </c>
      <c r="C692" t="s">
        <v>277</v>
      </c>
      <c r="D692" t="s">
        <v>1550</v>
      </c>
      <c r="E692" t="s">
        <v>1551</v>
      </c>
      <c r="F692">
        <v>300</v>
      </c>
      <c r="G692">
        <v>150</v>
      </c>
      <c r="H692" t="s">
        <v>1552</v>
      </c>
      <c r="I692" t="s">
        <v>20</v>
      </c>
    </row>
    <row r="693" spans="1:10" x14ac:dyDescent="0.35">
      <c r="B693" t="s">
        <v>1526</v>
      </c>
      <c r="C693" t="s">
        <v>281</v>
      </c>
      <c r="D693" t="s">
        <v>1553</v>
      </c>
      <c r="E693" t="s">
        <v>1551</v>
      </c>
      <c r="F693">
        <v>300</v>
      </c>
      <c r="G693">
        <v>150</v>
      </c>
      <c r="H693" t="s">
        <v>1552</v>
      </c>
      <c r="I693" t="s">
        <v>20</v>
      </c>
    </row>
    <row r="694" spans="1:10" x14ac:dyDescent="0.35">
      <c r="B694" t="s">
        <v>1526</v>
      </c>
      <c r="C694" t="s">
        <v>277</v>
      </c>
      <c r="D694" t="s">
        <v>1494</v>
      </c>
      <c r="E694" t="s">
        <v>39</v>
      </c>
      <c r="F694">
        <v>242</v>
      </c>
      <c r="G694">
        <v>121</v>
      </c>
      <c r="H694" s="1" t="s">
        <v>1495</v>
      </c>
      <c r="I694" t="s">
        <v>20</v>
      </c>
      <c r="J694">
        <v>242</v>
      </c>
    </row>
    <row r="695" spans="1:10" x14ac:dyDescent="0.35">
      <c r="B695" t="s">
        <v>1526</v>
      </c>
      <c r="C695" t="s">
        <v>277</v>
      </c>
      <c r="D695" t="s">
        <v>1554</v>
      </c>
      <c r="E695" t="s">
        <v>1499</v>
      </c>
      <c r="F695">
        <v>352</v>
      </c>
      <c r="G695">
        <v>176</v>
      </c>
      <c r="H695" t="s">
        <v>1500</v>
      </c>
      <c r="I695" t="s">
        <v>15</v>
      </c>
      <c r="J695">
        <v>352</v>
      </c>
    </row>
    <row r="696" spans="1:10" x14ac:dyDescent="0.35">
      <c r="A696">
        <v>6553141</v>
      </c>
      <c r="B696" t="s">
        <v>1555</v>
      </c>
      <c r="C696" t="s">
        <v>277</v>
      </c>
      <c r="D696" t="s">
        <v>1556</v>
      </c>
      <c r="E696" t="s">
        <v>402</v>
      </c>
      <c r="F696">
        <v>194</v>
      </c>
      <c r="G696">
        <v>97</v>
      </c>
      <c r="H696" s="1" t="s">
        <v>1557</v>
      </c>
      <c r="I696" t="s">
        <v>15</v>
      </c>
      <c r="J696">
        <v>194</v>
      </c>
    </row>
    <row r="697" spans="1:10" x14ac:dyDescent="0.35">
      <c r="A697">
        <v>6553141</v>
      </c>
      <c r="B697" t="s">
        <v>1555</v>
      </c>
      <c r="C697" t="s">
        <v>281</v>
      </c>
      <c r="D697" t="s">
        <v>1558</v>
      </c>
      <c r="E697" t="s">
        <v>402</v>
      </c>
      <c r="F697">
        <v>194</v>
      </c>
      <c r="G697">
        <v>97</v>
      </c>
      <c r="H697" s="1" t="s">
        <v>1557</v>
      </c>
      <c r="I697" t="s">
        <v>15</v>
      </c>
      <c r="J697">
        <v>194</v>
      </c>
    </row>
    <row r="698" spans="1:10" x14ac:dyDescent="0.35">
      <c r="A698">
        <v>6553141</v>
      </c>
      <c r="B698" t="s">
        <v>1555</v>
      </c>
      <c r="C698" t="s">
        <v>1225</v>
      </c>
      <c r="D698" t="s">
        <v>1559</v>
      </c>
      <c r="E698" t="s">
        <v>402</v>
      </c>
      <c r="F698">
        <v>194</v>
      </c>
      <c r="G698">
        <v>97</v>
      </c>
      <c r="H698" s="1" t="s">
        <v>1557</v>
      </c>
      <c r="I698" t="s">
        <v>15</v>
      </c>
      <c r="J698">
        <v>194</v>
      </c>
    </row>
    <row r="699" spans="1:10" x14ac:dyDescent="0.35">
      <c r="A699">
        <v>4414799</v>
      </c>
      <c r="B699" t="s">
        <v>1560</v>
      </c>
      <c r="C699" t="s">
        <v>277</v>
      </c>
      <c r="D699" t="s">
        <v>1561</v>
      </c>
      <c r="E699" t="s">
        <v>108</v>
      </c>
      <c r="F699">
        <v>147</v>
      </c>
      <c r="G699">
        <v>74</v>
      </c>
      <c r="H699" t="s">
        <v>1562</v>
      </c>
      <c r="I699" t="s">
        <v>15</v>
      </c>
      <c r="J699">
        <v>147</v>
      </c>
    </row>
    <row r="700" spans="1:10" x14ac:dyDescent="0.35">
      <c r="A700">
        <v>4414799</v>
      </c>
      <c r="B700" t="s">
        <v>1560</v>
      </c>
      <c r="C700" t="s">
        <v>281</v>
      </c>
      <c r="D700" t="s">
        <v>1563</v>
      </c>
      <c r="E700" t="s">
        <v>108</v>
      </c>
      <c r="F700">
        <v>147</v>
      </c>
      <c r="G700">
        <v>74</v>
      </c>
      <c r="H700" t="s">
        <v>1562</v>
      </c>
      <c r="I700" t="s">
        <v>15</v>
      </c>
      <c r="J700">
        <v>147</v>
      </c>
    </row>
    <row r="701" spans="1:10" x14ac:dyDescent="0.35">
      <c r="A701">
        <v>4414799</v>
      </c>
      <c r="B701" t="s">
        <v>1560</v>
      </c>
      <c r="C701" t="s">
        <v>1225</v>
      </c>
      <c r="D701" t="s">
        <v>1564</v>
      </c>
      <c r="E701" t="s">
        <v>108</v>
      </c>
      <c r="F701">
        <v>147</v>
      </c>
      <c r="G701">
        <v>74</v>
      </c>
      <c r="H701" t="s">
        <v>1562</v>
      </c>
      <c r="I701" t="s">
        <v>15</v>
      </c>
      <c r="J701">
        <v>147</v>
      </c>
    </row>
    <row r="702" spans="1:10" x14ac:dyDescent="0.35">
      <c r="A702">
        <v>5364663</v>
      </c>
      <c r="B702" t="s">
        <v>1565</v>
      </c>
      <c r="C702" t="s">
        <v>277</v>
      </c>
      <c r="D702" t="s">
        <v>1566</v>
      </c>
      <c r="E702" t="s">
        <v>23</v>
      </c>
      <c r="F702">
        <v>125</v>
      </c>
      <c r="G702">
        <v>63</v>
      </c>
      <c r="H702" t="s">
        <v>1567</v>
      </c>
      <c r="I702" t="s">
        <v>15</v>
      </c>
      <c r="J702">
        <v>125</v>
      </c>
    </row>
    <row r="703" spans="1:10" x14ac:dyDescent="0.35">
      <c r="A703">
        <v>5364663</v>
      </c>
      <c r="B703" t="s">
        <v>1565</v>
      </c>
      <c r="C703" t="s">
        <v>281</v>
      </c>
      <c r="D703" t="s">
        <v>1568</v>
      </c>
      <c r="E703" t="s">
        <v>23</v>
      </c>
      <c r="F703">
        <v>125</v>
      </c>
      <c r="G703">
        <v>63</v>
      </c>
      <c r="H703" t="s">
        <v>1567</v>
      </c>
      <c r="I703" t="s">
        <v>15</v>
      </c>
      <c r="J703">
        <v>125</v>
      </c>
    </row>
    <row r="704" spans="1:10" x14ac:dyDescent="0.35">
      <c r="A704">
        <v>1268104</v>
      </c>
      <c r="B704" t="s">
        <v>1569</v>
      </c>
      <c r="C704" t="s">
        <v>277</v>
      </c>
      <c r="D704" t="s">
        <v>1570</v>
      </c>
      <c r="E704" t="s">
        <v>203</v>
      </c>
      <c r="F704">
        <v>262</v>
      </c>
      <c r="G704">
        <v>134</v>
      </c>
      <c r="H704" t="s">
        <v>1465</v>
      </c>
      <c r="I704" t="s">
        <v>20</v>
      </c>
      <c r="J704">
        <v>262</v>
      </c>
    </row>
    <row r="705" spans="1:10" x14ac:dyDescent="0.35">
      <c r="A705">
        <v>341207</v>
      </c>
      <c r="B705" t="s">
        <v>1571</v>
      </c>
      <c r="C705" t="s">
        <v>277</v>
      </c>
      <c r="D705" t="s">
        <v>1572</v>
      </c>
      <c r="E705" t="s">
        <v>1573</v>
      </c>
      <c r="F705">
        <v>268</v>
      </c>
      <c r="G705">
        <v>134</v>
      </c>
      <c r="H705" t="s">
        <v>1574</v>
      </c>
      <c r="I705" t="s">
        <v>15</v>
      </c>
      <c r="J705">
        <v>268</v>
      </c>
    </row>
    <row r="706" spans="1:10" x14ac:dyDescent="0.35">
      <c r="A706">
        <v>341207</v>
      </c>
      <c r="B706" t="s">
        <v>1571</v>
      </c>
      <c r="C706" t="s">
        <v>281</v>
      </c>
      <c r="D706" t="s">
        <v>1575</v>
      </c>
      <c r="E706" t="s">
        <v>1573</v>
      </c>
      <c r="F706">
        <v>268</v>
      </c>
      <c r="G706">
        <v>134</v>
      </c>
      <c r="H706" t="s">
        <v>1574</v>
      </c>
      <c r="I706" t="s">
        <v>15</v>
      </c>
      <c r="J706">
        <v>268</v>
      </c>
    </row>
    <row r="707" spans="1:10" x14ac:dyDescent="0.35">
      <c r="A707">
        <v>341207</v>
      </c>
      <c r="B707" t="s">
        <v>1571</v>
      </c>
      <c r="C707" t="s">
        <v>1225</v>
      </c>
      <c r="D707" t="s">
        <v>1576</v>
      </c>
      <c r="E707" t="s">
        <v>1573</v>
      </c>
      <c r="F707">
        <v>268</v>
      </c>
      <c r="G707">
        <v>134</v>
      </c>
      <c r="H707" t="s">
        <v>1574</v>
      </c>
      <c r="I707" t="s">
        <v>15</v>
      </c>
      <c r="J707">
        <v>268</v>
      </c>
    </row>
    <row r="708" spans="1:10" x14ac:dyDescent="0.35">
      <c r="A708">
        <v>341207</v>
      </c>
      <c r="B708" t="s">
        <v>1571</v>
      </c>
      <c r="C708" t="s">
        <v>1230</v>
      </c>
      <c r="D708" t="s">
        <v>1577</v>
      </c>
      <c r="E708" t="s">
        <v>1573</v>
      </c>
      <c r="F708">
        <v>268</v>
      </c>
      <c r="G708">
        <v>134</v>
      </c>
      <c r="H708" t="s">
        <v>1574</v>
      </c>
      <c r="I708" t="s">
        <v>15</v>
      </c>
      <c r="J708">
        <v>268</v>
      </c>
    </row>
    <row r="709" spans="1:10" x14ac:dyDescent="0.35">
      <c r="A709">
        <v>341207</v>
      </c>
      <c r="B709" t="s">
        <v>1571</v>
      </c>
      <c r="C709" t="s">
        <v>1578</v>
      </c>
      <c r="D709" t="s">
        <v>1579</v>
      </c>
      <c r="E709" t="s">
        <v>1573</v>
      </c>
      <c r="F709">
        <v>268</v>
      </c>
      <c r="G709">
        <v>134</v>
      </c>
      <c r="H709" t="s">
        <v>1574</v>
      </c>
      <c r="I709" t="s">
        <v>15</v>
      </c>
      <c r="J709">
        <v>268</v>
      </c>
    </row>
    <row r="710" spans="1:10" x14ac:dyDescent="0.35">
      <c r="B710" t="s">
        <v>1580</v>
      </c>
      <c r="D710" t="s">
        <v>1580</v>
      </c>
      <c r="E710" t="s">
        <v>13</v>
      </c>
      <c r="F710">
        <v>0</v>
      </c>
      <c r="G710">
        <v>0</v>
      </c>
      <c r="H710" s="1" t="s">
        <v>1581</v>
      </c>
      <c r="I710" t="s">
        <v>1582</v>
      </c>
      <c r="J710">
        <v>0</v>
      </c>
    </row>
    <row r="711" spans="1:10" x14ac:dyDescent="0.35">
      <c r="A711">
        <v>6173799</v>
      </c>
      <c r="B711" t="s">
        <v>1583</v>
      </c>
      <c r="C711" t="s">
        <v>277</v>
      </c>
      <c r="D711" t="s">
        <v>1584</v>
      </c>
      <c r="E711" t="s">
        <v>23</v>
      </c>
      <c r="F711">
        <v>127</v>
      </c>
      <c r="G711">
        <v>63</v>
      </c>
      <c r="H711" s="1" t="s">
        <v>1585</v>
      </c>
      <c r="I711" t="s">
        <v>15</v>
      </c>
      <c r="J711">
        <v>127</v>
      </c>
    </row>
    <row r="712" spans="1:10" x14ac:dyDescent="0.35">
      <c r="A712">
        <v>6173799</v>
      </c>
      <c r="B712" t="s">
        <v>1583</v>
      </c>
      <c r="C712" t="s">
        <v>281</v>
      </c>
      <c r="D712" t="s">
        <v>1586</v>
      </c>
      <c r="E712" t="s">
        <v>23</v>
      </c>
      <c r="F712">
        <v>127</v>
      </c>
      <c r="G712">
        <v>63</v>
      </c>
      <c r="H712" s="1" t="s">
        <v>1585</v>
      </c>
      <c r="I712" t="s">
        <v>15</v>
      </c>
      <c r="J712">
        <v>127</v>
      </c>
    </row>
    <row r="713" spans="1:10" x14ac:dyDescent="0.35">
      <c r="A713">
        <v>6173799</v>
      </c>
      <c r="B713" t="s">
        <v>1583</v>
      </c>
      <c r="C713" t="s">
        <v>1225</v>
      </c>
      <c r="D713" t="s">
        <v>1587</v>
      </c>
      <c r="E713" t="s">
        <v>23</v>
      </c>
      <c r="F713">
        <v>127</v>
      </c>
      <c r="G713">
        <v>63</v>
      </c>
      <c r="H713" s="1" t="s">
        <v>1585</v>
      </c>
      <c r="I713" t="s">
        <v>15</v>
      </c>
      <c r="J713">
        <v>127</v>
      </c>
    </row>
    <row r="714" spans="1:10" x14ac:dyDescent="0.35">
      <c r="A714">
        <v>5265509</v>
      </c>
      <c r="B714" t="s">
        <v>1588</v>
      </c>
      <c r="C714" t="s">
        <v>277</v>
      </c>
      <c r="D714" t="s">
        <v>1589</v>
      </c>
      <c r="E714" t="s">
        <v>402</v>
      </c>
      <c r="F714">
        <v>202</v>
      </c>
      <c r="G714">
        <v>101</v>
      </c>
      <c r="H714" s="1" t="s">
        <v>1590</v>
      </c>
      <c r="I714" t="s">
        <v>15</v>
      </c>
      <c r="J714">
        <v>202</v>
      </c>
    </row>
    <row r="715" spans="1:10" x14ac:dyDescent="0.35">
      <c r="A715">
        <v>5265509</v>
      </c>
      <c r="B715" t="s">
        <v>1588</v>
      </c>
      <c r="C715" t="s">
        <v>281</v>
      </c>
      <c r="D715" t="s">
        <v>1591</v>
      </c>
      <c r="E715" t="s">
        <v>402</v>
      </c>
      <c r="F715">
        <v>202</v>
      </c>
      <c r="G715">
        <v>101</v>
      </c>
      <c r="H715" s="1" t="s">
        <v>1590</v>
      </c>
      <c r="I715" t="s">
        <v>15</v>
      </c>
      <c r="J715">
        <v>202</v>
      </c>
    </row>
    <row r="716" spans="1:10" x14ac:dyDescent="0.35">
      <c r="A716">
        <v>4276442</v>
      </c>
      <c r="B716" t="s">
        <v>1592</v>
      </c>
      <c r="C716" t="s">
        <v>277</v>
      </c>
      <c r="D716" t="s">
        <v>1593</v>
      </c>
      <c r="E716" t="s">
        <v>970</v>
      </c>
      <c r="F716">
        <v>227</v>
      </c>
      <c r="G716">
        <v>113</v>
      </c>
      <c r="H716" s="1" t="s">
        <v>1594</v>
      </c>
      <c r="I716" t="s">
        <v>15</v>
      </c>
      <c r="J716">
        <v>227</v>
      </c>
    </row>
    <row r="717" spans="1:10" x14ac:dyDescent="0.35">
      <c r="A717">
        <v>4276434</v>
      </c>
      <c r="B717" t="s">
        <v>1595</v>
      </c>
      <c r="C717" t="s">
        <v>277</v>
      </c>
      <c r="D717" t="s">
        <v>1596</v>
      </c>
      <c r="E717" t="s">
        <v>970</v>
      </c>
      <c r="F717">
        <v>227</v>
      </c>
      <c r="G717">
        <v>113</v>
      </c>
      <c r="H717" s="1" t="s">
        <v>1594</v>
      </c>
      <c r="I717" t="s">
        <v>15</v>
      </c>
      <c r="J717">
        <v>227</v>
      </c>
    </row>
    <row r="718" spans="1:10" x14ac:dyDescent="0.35">
      <c r="A718">
        <v>4276434</v>
      </c>
      <c r="B718" t="s">
        <v>1595</v>
      </c>
      <c r="C718" t="s">
        <v>281</v>
      </c>
      <c r="D718" t="s">
        <v>1597</v>
      </c>
      <c r="E718" t="s">
        <v>970</v>
      </c>
      <c r="F718">
        <v>227</v>
      </c>
      <c r="G718">
        <v>113</v>
      </c>
      <c r="H718" s="1" t="s">
        <v>1594</v>
      </c>
      <c r="I718" t="s">
        <v>15</v>
      </c>
      <c r="J718">
        <v>227</v>
      </c>
    </row>
    <row r="719" spans="1:10" x14ac:dyDescent="0.35">
      <c r="A719">
        <v>1354116</v>
      </c>
      <c r="B719" t="s">
        <v>1598</v>
      </c>
      <c r="C719" t="s">
        <v>1225</v>
      </c>
      <c r="D719" t="s">
        <v>1599</v>
      </c>
      <c r="E719" t="s">
        <v>59</v>
      </c>
      <c r="F719">
        <v>245</v>
      </c>
      <c r="G719">
        <v>122</v>
      </c>
    </row>
    <row r="720" spans="1:10" x14ac:dyDescent="0.35">
      <c r="A720">
        <v>1354116</v>
      </c>
      <c r="B720" t="s">
        <v>1598</v>
      </c>
      <c r="C720" t="s">
        <v>277</v>
      </c>
      <c r="D720" t="s">
        <v>1600</v>
      </c>
      <c r="E720" t="s">
        <v>59</v>
      </c>
      <c r="F720">
        <v>245</v>
      </c>
      <c r="G720">
        <v>122</v>
      </c>
    </row>
    <row r="721" spans="1:7" x14ac:dyDescent="0.35">
      <c r="A721">
        <v>1287346</v>
      </c>
      <c r="B721" t="s">
        <v>1601</v>
      </c>
      <c r="C721" t="s">
        <v>277</v>
      </c>
      <c r="D721" t="s">
        <v>1602</v>
      </c>
      <c r="E721" t="s">
        <v>145</v>
      </c>
      <c r="F721">
        <v>141</v>
      </c>
      <c r="G721">
        <v>70</v>
      </c>
    </row>
    <row r="722" spans="1:7" x14ac:dyDescent="0.35">
      <c r="A722">
        <v>1364537</v>
      </c>
      <c r="B722" t="s">
        <v>1603</v>
      </c>
      <c r="C722" t="s">
        <v>277</v>
      </c>
      <c r="D722" t="s">
        <v>1604</v>
      </c>
      <c r="E722" t="s">
        <v>39</v>
      </c>
      <c r="F722">
        <v>234</v>
      </c>
      <c r="G722">
        <v>117</v>
      </c>
    </row>
    <row r="723" spans="1:7" x14ac:dyDescent="0.35">
      <c r="A723">
        <v>1364510</v>
      </c>
      <c r="B723" t="s">
        <v>1605</v>
      </c>
      <c r="C723" t="s">
        <v>277</v>
      </c>
      <c r="D723" t="s">
        <v>1606</v>
      </c>
      <c r="E723" t="s">
        <v>39</v>
      </c>
      <c r="F723">
        <v>234</v>
      </c>
      <c r="G723">
        <v>117</v>
      </c>
    </row>
    <row r="724" spans="1:7" x14ac:dyDescent="0.35">
      <c r="A724">
        <v>1332201</v>
      </c>
      <c r="B724" t="s">
        <v>1607</v>
      </c>
      <c r="C724" t="s">
        <v>281</v>
      </c>
      <c r="D724" t="s">
        <v>1608</v>
      </c>
      <c r="E724" t="s">
        <v>35</v>
      </c>
      <c r="F724">
        <v>340</v>
      </c>
      <c r="G724">
        <v>170</v>
      </c>
    </row>
    <row r="725" spans="1:7" x14ac:dyDescent="0.35">
      <c r="A725">
        <v>1332201</v>
      </c>
      <c r="B725" t="s">
        <v>1607</v>
      </c>
      <c r="C725" t="s">
        <v>1225</v>
      </c>
      <c r="D725" t="s">
        <v>1609</v>
      </c>
      <c r="E725" t="s">
        <v>35</v>
      </c>
      <c r="F725">
        <v>340</v>
      </c>
      <c r="G725">
        <v>170</v>
      </c>
    </row>
    <row r="726" spans="1:7" x14ac:dyDescent="0.35">
      <c r="A726">
        <v>1354116</v>
      </c>
      <c r="B726" t="s">
        <v>1598</v>
      </c>
      <c r="C726" t="s">
        <v>281</v>
      </c>
      <c r="D726" t="s">
        <v>1610</v>
      </c>
      <c r="E726" t="s">
        <v>59</v>
      </c>
      <c r="F726">
        <v>245</v>
      </c>
      <c r="G726">
        <v>122</v>
      </c>
    </row>
    <row r="727" spans="1:7" x14ac:dyDescent="0.35">
      <c r="A727">
        <v>6159508</v>
      </c>
      <c r="B727" t="s">
        <v>1181</v>
      </c>
      <c r="C727" t="s">
        <v>1611</v>
      </c>
      <c r="D727" t="s">
        <v>1612</v>
      </c>
      <c r="E727" t="s">
        <v>70</v>
      </c>
      <c r="F727">
        <v>222</v>
      </c>
      <c r="G727">
        <v>111</v>
      </c>
    </row>
    <row r="728" spans="1:7" x14ac:dyDescent="0.35">
      <c r="A728">
        <v>6159508</v>
      </c>
      <c r="B728" t="s">
        <v>1181</v>
      </c>
      <c r="C728" t="s">
        <v>1225</v>
      </c>
      <c r="D728" t="s">
        <v>1613</v>
      </c>
      <c r="E728" t="s">
        <v>70</v>
      </c>
      <c r="F728">
        <v>222</v>
      </c>
      <c r="G728">
        <v>111</v>
      </c>
    </row>
    <row r="729" spans="1:7" x14ac:dyDescent="0.35">
      <c r="A729">
        <v>6159508</v>
      </c>
      <c r="B729" t="s">
        <v>1181</v>
      </c>
      <c r="C729" t="s">
        <v>1230</v>
      </c>
      <c r="D729" t="s">
        <v>1614</v>
      </c>
      <c r="E729" t="s">
        <v>70</v>
      </c>
      <c r="F729">
        <v>222</v>
      </c>
      <c r="G729">
        <v>111</v>
      </c>
    </row>
    <row r="730" spans="1:7" x14ac:dyDescent="0.35">
      <c r="A730">
        <v>1380737</v>
      </c>
      <c r="B730" t="s">
        <v>1615</v>
      </c>
      <c r="C730" t="s">
        <v>277</v>
      </c>
      <c r="D730" t="s">
        <v>1616</v>
      </c>
      <c r="E730" t="s">
        <v>59</v>
      </c>
      <c r="G730">
        <v>0</v>
      </c>
    </row>
    <row r="731" spans="1:7" x14ac:dyDescent="0.35">
      <c r="A731">
        <v>1379828</v>
      </c>
      <c r="B731" t="s">
        <v>1617</v>
      </c>
      <c r="C731" t="s">
        <v>277</v>
      </c>
      <c r="D731" t="s">
        <v>1618</v>
      </c>
      <c r="E731" t="s">
        <v>196</v>
      </c>
      <c r="G731">
        <v>0</v>
      </c>
    </row>
    <row r="732" spans="1:7" x14ac:dyDescent="0.35">
      <c r="A732">
        <v>446688</v>
      </c>
      <c r="B732" t="s">
        <v>1619</v>
      </c>
      <c r="C732" t="s">
        <v>277</v>
      </c>
      <c r="D732" t="s">
        <v>1620</v>
      </c>
      <c r="E732" t="s">
        <v>13</v>
      </c>
      <c r="F732">
        <v>70</v>
      </c>
      <c r="G732">
        <v>35</v>
      </c>
    </row>
    <row r="733" spans="1:7" x14ac:dyDescent="0.35">
      <c r="A733">
        <v>446688</v>
      </c>
      <c r="B733" t="s">
        <v>1619</v>
      </c>
      <c r="C733" t="s">
        <v>281</v>
      </c>
      <c r="D733" t="s">
        <v>1621</v>
      </c>
      <c r="E733" t="s">
        <v>13</v>
      </c>
      <c r="F733">
        <v>70</v>
      </c>
      <c r="G733">
        <v>35</v>
      </c>
    </row>
    <row r="734" spans="1:7" x14ac:dyDescent="0.35">
      <c r="A734">
        <v>465658</v>
      </c>
      <c r="B734" t="s">
        <v>1622</v>
      </c>
      <c r="C734" t="s">
        <v>277</v>
      </c>
      <c r="D734" t="s">
        <v>1623</v>
      </c>
      <c r="E734" t="s">
        <v>1624</v>
      </c>
      <c r="F734">
        <v>233</v>
      </c>
      <c r="G734">
        <v>116</v>
      </c>
    </row>
    <row r="735" spans="1:7" x14ac:dyDescent="0.35">
      <c r="A735">
        <v>6572944</v>
      </c>
      <c r="B735" t="s">
        <v>1625</v>
      </c>
      <c r="C735" t="s">
        <v>277</v>
      </c>
      <c r="D735" t="s">
        <v>1626</v>
      </c>
      <c r="E735" t="s">
        <v>13</v>
      </c>
      <c r="F735">
        <v>152</v>
      </c>
      <c r="G735">
        <v>76</v>
      </c>
    </row>
    <row r="736" spans="1:7" x14ac:dyDescent="0.35">
      <c r="A736">
        <v>6572944</v>
      </c>
      <c r="B736" t="s">
        <v>1625</v>
      </c>
      <c r="C736" t="s">
        <v>281</v>
      </c>
      <c r="D736" t="s">
        <v>1627</v>
      </c>
      <c r="E736" t="s">
        <v>13</v>
      </c>
      <c r="F736">
        <v>152</v>
      </c>
      <c r="G736">
        <v>76</v>
      </c>
    </row>
    <row r="737" spans="1:7" x14ac:dyDescent="0.35">
      <c r="A737">
        <v>29889</v>
      </c>
      <c r="B737" t="s">
        <v>1628</v>
      </c>
      <c r="C737" t="s">
        <v>1225</v>
      </c>
      <c r="D737" t="s">
        <v>1629</v>
      </c>
      <c r="E737" t="s">
        <v>288</v>
      </c>
      <c r="F737">
        <v>370</v>
      </c>
      <c r="G737">
        <v>185</v>
      </c>
    </row>
    <row r="738" spans="1:7" x14ac:dyDescent="0.35">
      <c r="A738">
        <v>29889</v>
      </c>
      <c r="B738" t="s">
        <v>1630</v>
      </c>
      <c r="C738" t="s">
        <v>281</v>
      </c>
      <c r="D738" t="s">
        <v>1631</v>
      </c>
      <c r="E738" t="s">
        <v>288</v>
      </c>
      <c r="F738">
        <v>370</v>
      </c>
      <c r="G738">
        <v>185</v>
      </c>
    </row>
    <row r="739" spans="1:7" x14ac:dyDescent="0.35">
      <c r="A739">
        <v>29889</v>
      </c>
      <c r="B739" t="s">
        <v>1632</v>
      </c>
      <c r="C739" t="s">
        <v>277</v>
      </c>
      <c r="D739" t="s">
        <v>1633</v>
      </c>
      <c r="E739" t="s">
        <v>288</v>
      </c>
      <c r="F739">
        <v>370</v>
      </c>
      <c r="G739">
        <v>185</v>
      </c>
    </row>
    <row r="740" spans="1:7" x14ac:dyDescent="0.35">
      <c r="A740">
        <v>1309145</v>
      </c>
      <c r="B740" t="s">
        <v>1634</v>
      </c>
      <c r="C740" t="s">
        <v>281</v>
      </c>
      <c r="D740" t="s">
        <v>1635</v>
      </c>
      <c r="E740" t="s">
        <v>59</v>
      </c>
      <c r="G740">
        <v>0</v>
      </c>
    </row>
    <row r="741" spans="1:7" x14ac:dyDescent="0.35">
      <c r="A741">
        <v>1309145</v>
      </c>
      <c r="B741" t="s">
        <v>1634</v>
      </c>
      <c r="C741" t="s">
        <v>1225</v>
      </c>
      <c r="D741" t="s">
        <v>1636</v>
      </c>
      <c r="E741" t="s">
        <v>59</v>
      </c>
      <c r="G741">
        <v>0</v>
      </c>
    </row>
  </sheetData>
  <conditionalFormatting sqref="B630:B641">
    <cfRule type="duplicateValues" dxfId="3" priority="2"/>
  </conditionalFormatting>
  <conditionalFormatting sqref="B642:B646">
    <cfRule type="duplicateValues" dxfId="2" priority="3"/>
  </conditionalFormatting>
  <conditionalFormatting sqref="D630:D641">
    <cfRule type="duplicateValues" dxfId="1" priority="1"/>
  </conditionalFormatting>
  <conditionalFormatting sqref="D642:D646">
    <cfRule type="duplicateValues" dxfId="0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1037-B0A9-4062-AF17-48503F7A6E20}">
  <dimension ref="A1:C2"/>
  <sheetViews>
    <sheetView workbookViewId="0">
      <selection activeCell="B2" sqref="B2:C2"/>
    </sheetView>
  </sheetViews>
  <sheetFormatPr defaultRowHeight="14.5" x14ac:dyDescent="0.35"/>
  <cols>
    <col min="1" max="1" width="14.81640625" bestFit="1" customWidth="1"/>
    <col min="2" max="2" width="14.453125" bestFit="1" customWidth="1"/>
    <col min="3" max="3" width="13.453125" bestFit="1" customWidth="1"/>
  </cols>
  <sheetData>
    <row r="1" spans="1:3" x14ac:dyDescent="0.35">
      <c r="A1" t="s">
        <v>1637</v>
      </c>
      <c r="B1" t="s">
        <v>1638</v>
      </c>
      <c r="C1" t="s">
        <v>1639</v>
      </c>
    </row>
    <row r="2" spans="1:3" x14ac:dyDescent="0.35">
      <c r="A2" t="s">
        <v>1640</v>
      </c>
      <c r="B2">
        <v>4.5780000000000003</v>
      </c>
      <c r="C2">
        <v>194.44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C98C-80E1-49E0-8813-F260596B997A}">
  <dimension ref="A1:M813"/>
  <sheetViews>
    <sheetView tabSelected="1" zoomScale="130" zoomScaleNormal="130" workbookViewId="0">
      <selection activeCell="F711" sqref="F711"/>
    </sheetView>
  </sheetViews>
  <sheetFormatPr defaultRowHeight="15.5" x14ac:dyDescent="0.35"/>
  <cols>
    <col min="1" max="1" width="10.453125" bestFit="1" customWidth="1"/>
    <col min="2" max="2" width="29.81640625" customWidth="1"/>
    <col min="4" max="4" width="15.08984375" customWidth="1"/>
    <col min="5" max="5" width="11.7265625" bestFit="1" customWidth="1"/>
    <col min="6" max="6" width="11.7265625" style="7" customWidth="1"/>
    <col min="7" max="7" width="15.453125" hidden="1" customWidth="1"/>
    <col min="8" max="8" width="10.54296875" hidden="1" customWidth="1"/>
    <col min="9" max="9" width="17.7265625" style="3" hidden="1" customWidth="1"/>
    <col min="10" max="10" width="9.54296875" hidden="1" customWidth="1"/>
    <col min="11" max="12" width="13.54296875" style="5" hidden="1" customWidth="1"/>
    <col min="13" max="13" width="13.54296875" style="5" customWidth="1"/>
  </cols>
  <sheetData>
    <row r="1" spans="1:13" s="8" customFormat="1" ht="58.5" customHeight="1" x14ac:dyDescent="0.35">
      <c r="A1" s="8" t="s">
        <v>0</v>
      </c>
      <c r="B1" s="8" t="s">
        <v>1650</v>
      </c>
      <c r="C1" s="8" t="s">
        <v>1648</v>
      </c>
      <c r="D1" s="8" t="s">
        <v>4</v>
      </c>
      <c r="E1" s="8" t="s">
        <v>8</v>
      </c>
      <c r="F1" s="9" t="s">
        <v>1641</v>
      </c>
      <c r="G1" s="8" t="s">
        <v>9</v>
      </c>
      <c r="H1" s="8" t="s">
        <v>1642</v>
      </c>
      <c r="I1" s="10" t="s">
        <v>1643</v>
      </c>
      <c r="J1" s="8" t="s">
        <v>1644</v>
      </c>
      <c r="K1" s="11" t="s">
        <v>1645</v>
      </c>
      <c r="L1" s="11" t="s">
        <v>1646</v>
      </c>
      <c r="M1" s="11" t="s">
        <v>1647</v>
      </c>
    </row>
    <row r="2" spans="1:13" hidden="1" x14ac:dyDescent="0.35">
      <c r="A2">
        <f>'DASE DADOS - DISTANCIA'!A2</f>
        <v>111058</v>
      </c>
      <c r="C2" t="str">
        <f>'DASE DADOS - DISTANCIA'!C2</f>
        <v xml:space="preserve"> A1</v>
      </c>
      <c r="D2" t="str">
        <f>'DASE DADOS - DISTANCIA'!E2</f>
        <v>CASCAVEL</v>
      </c>
      <c r="E2" t="str">
        <f>'DASE DADOS - DISTANCIA'!I2</f>
        <v>PLUMA</v>
      </c>
      <c r="F2" s="7">
        <v>27</v>
      </c>
      <c r="G2">
        <f>'DASE DADOS - DISTANCIA'!J2</f>
        <v>54</v>
      </c>
      <c r="H2" s="2">
        <v>420</v>
      </c>
      <c r="I2" s="2" t="e">
        <f>IF(#REF!&lt;17200,DISTÂNCIA3[[#This Row],[KM PARA PAGAMENTO DOS FRETES]]*4.74,((#REF!/17200)*4.74)*DISTÂNCIA3[[#This Row],[KM PARA PAGAMENTO DOS FRETES]])</f>
        <v>#REF!</v>
      </c>
      <c r="J2" s="4">
        <f>DISTÂNCIA3[[#This Row],[Valor CTE]]/DISTÂNCIA3[[#This Row],[KM PARA PAGAMENTO DOS FRETES]]</f>
        <v>7.9955555555555557</v>
      </c>
      <c r="K2" s="6">
        <f>ROUND((F2*4.578)+194.44,2)</f>
        <v>318.05</v>
      </c>
      <c r="L2" s="6">
        <f>0.92*DISTÂNCIA3[[#This Row],[KM distancia]]*4.578</f>
        <v>113.71752000000001</v>
      </c>
      <c r="M2" s="6">
        <f>ROUND(((F2*4.578)+194.44)+(0.92*F2*4.578),2)</f>
        <v>431.76</v>
      </c>
    </row>
    <row r="3" spans="1:13" hidden="1" x14ac:dyDescent="0.35">
      <c r="A3">
        <f>'DASE DADOS - DISTANCIA'!A3</f>
        <v>29890</v>
      </c>
      <c r="B3" t="str">
        <f>'DASE DADOS - DISTANCIA'!B3</f>
        <v>IVANIR GIRELLI</v>
      </c>
      <c r="C3" t="str">
        <f>'DASE DADOS - DISTANCIA'!C3</f>
        <v xml:space="preserve"> A1</v>
      </c>
      <c r="D3" t="str">
        <f>'DASE DADOS - DISTANCIA'!E3</f>
        <v>SANTO ANTÔNIO DO SUDOESTE</v>
      </c>
      <c r="E3" t="str">
        <f>'DASE DADOS - DISTANCIA'!I3</f>
        <v>PLUSVAL</v>
      </c>
      <c r="F3" s="7">
        <v>166</v>
      </c>
      <c r="G3">
        <f>'DASE DADOS - DISTANCIA'!J3</f>
        <v>331</v>
      </c>
      <c r="H3" s="2">
        <v>420</v>
      </c>
      <c r="I3" s="2" t="e">
        <f>IF(#REF!&lt;17200,DISTÂNCIA3[[#This Row],[KM PARA PAGAMENTO DOS FRETES]]*4.74,((#REF!/17200)*4.74)*DISTÂNCIA3[[#This Row],[KM PARA PAGAMENTO DOS FRETES]])</f>
        <v>#REF!</v>
      </c>
      <c r="J3" s="4">
        <f>DISTÂNCIA3[[#This Row],[Valor CTE]]/DISTÂNCIA3[[#This Row],[KM PARA PAGAMENTO DOS FRETES]]</f>
        <v>4.9955891238670693</v>
      </c>
      <c r="K3" s="6">
        <f t="shared" ref="K3:K65" si="0">ROUND((F3*4.578)+194.44,2)</f>
        <v>954.39</v>
      </c>
      <c r="L3" s="6">
        <f>0.92*DISTÂNCIA3[[#This Row],[KM distancia]]*4.578</f>
        <v>699.15216000000009</v>
      </c>
      <c r="M3" s="6">
        <f t="shared" ref="M3:M66" si="1">ROUND(((F3*4.578)+194.44)+(0.92*F3*4.578),2)</f>
        <v>1653.54</v>
      </c>
    </row>
    <row r="4" spans="1:13" hidden="1" x14ac:dyDescent="0.35">
      <c r="A4">
        <f>'DASE DADOS - DISTANCIA'!A4</f>
        <v>5365040</v>
      </c>
      <c r="B4" t="str">
        <f>'DASE DADOS - DISTANCIA'!B4</f>
        <v>ADAIR JOSE DELAMURA</v>
      </c>
      <c r="C4" t="str">
        <f>'DASE DADOS - DISTANCIA'!C4</f>
        <v xml:space="preserve"> A1</v>
      </c>
      <c r="D4" t="str">
        <f>'DASE DADOS - DISTANCIA'!E4</f>
        <v>TUPASSI</v>
      </c>
      <c r="E4" t="str">
        <f>'DASE DADOS - DISTANCIA'!I4</f>
        <v>PLUMA</v>
      </c>
      <c r="F4" s="7">
        <v>53</v>
      </c>
      <c r="G4">
        <f>'DASE DADOS - DISTANCIA'!J4</f>
        <v>106</v>
      </c>
      <c r="H4" s="2">
        <v>420</v>
      </c>
      <c r="I4" s="2" t="e">
        <f>IF(#REF!&lt;17200,DISTÂNCIA3[[#This Row],[KM PARA PAGAMENTO DOS FRETES]]*4.74,((#REF!/17200)*4.74)*DISTÂNCIA3[[#This Row],[KM PARA PAGAMENTO DOS FRETES]])</f>
        <v>#REF!</v>
      </c>
      <c r="J4" s="4">
        <f>DISTÂNCIA3[[#This Row],[Valor CTE]]/DISTÂNCIA3[[#This Row],[KM PARA PAGAMENTO DOS FRETES]]</f>
        <v>6.2292452830188676</v>
      </c>
      <c r="K4" s="6">
        <f t="shared" si="0"/>
        <v>437.07</v>
      </c>
      <c r="L4" s="6">
        <f>0.92*DISTÂNCIA3[[#This Row],[KM distancia]]*4.578</f>
        <v>223.22328000000005</v>
      </c>
      <c r="M4" s="6">
        <f t="shared" si="1"/>
        <v>660.3</v>
      </c>
    </row>
    <row r="5" spans="1:13" hidden="1" x14ac:dyDescent="0.35">
      <c r="A5">
        <f>'DASE DADOS - DISTANCIA'!A5</f>
        <v>29890</v>
      </c>
      <c r="B5" t="str">
        <f>'DASE DADOS - DISTANCIA'!B5</f>
        <v>IVANIR GIRELLI</v>
      </c>
      <c r="C5" t="str">
        <f>'DASE DADOS - DISTANCIA'!C5</f>
        <v xml:space="preserve"> A2</v>
      </c>
      <c r="D5" t="str">
        <f>'DASE DADOS - DISTANCIA'!E5</f>
        <v>SANTO ANTÔNIO DO SUDOESTE</v>
      </c>
      <c r="E5" t="str">
        <f>'DASE DADOS - DISTANCIA'!I5</f>
        <v>PLUSVAL</v>
      </c>
      <c r="F5" s="7">
        <v>166</v>
      </c>
      <c r="G5">
        <f>'DASE DADOS - DISTANCIA'!J5</f>
        <v>331</v>
      </c>
      <c r="H5" s="2">
        <v>420</v>
      </c>
      <c r="I5" s="2" t="e">
        <f>IF(#REF!&lt;17200,DISTÂNCIA3[[#This Row],[KM PARA PAGAMENTO DOS FRETES]]*4.74,((#REF!/17200)*4.74)*DISTÂNCIA3[[#This Row],[KM PARA PAGAMENTO DOS FRETES]])</f>
        <v>#REF!</v>
      </c>
      <c r="J5" s="4">
        <f>DISTÂNCIA3[[#This Row],[Valor CTE]]/DISTÂNCIA3[[#This Row],[KM PARA PAGAMENTO DOS FRETES]]</f>
        <v>4.9955891238670693</v>
      </c>
      <c r="K5" s="6">
        <f t="shared" si="0"/>
        <v>954.39</v>
      </c>
      <c r="L5" s="6">
        <f>0.92*DISTÂNCIA3[[#This Row],[KM distancia]]*4.578</f>
        <v>699.15216000000009</v>
      </c>
      <c r="M5" s="6">
        <f t="shared" si="1"/>
        <v>1653.54</v>
      </c>
    </row>
    <row r="6" spans="1:13" hidden="1" x14ac:dyDescent="0.35">
      <c r="A6">
        <f>'DASE DADOS - DISTANCIA'!A6</f>
        <v>30448</v>
      </c>
      <c r="B6" t="str">
        <f>'DASE DADOS - DISTANCIA'!B6</f>
        <v>ADAO RICARDO DOS SANTOS</v>
      </c>
      <c r="C6" t="str">
        <f>'DASE DADOS - DISTANCIA'!C6</f>
        <v xml:space="preserve"> A1</v>
      </c>
      <c r="D6" t="str">
        <f>'DASE DADOS - DISTANCIA'!E6</f>
        <v>TRÊS BARRAS DO PARANÁ</v>
      </c>
      <c r="E6" t="str">
        <f>'DASE DADOS - DISTANCIA'!I6</f>
        <v>PLUSVAL</v>
      </c>
      <c r="F6" s="7">
        <v>113</v>
      </c>
      <c r="G6">
        <f>'DASE DADOS - DISTANCIA'!J6</f>
        <v>226</v>
      </c>
      <c r="H6" s="2">
        <v>420</v>
      </c>
      <c r="I6" s="2" t="e">
        <f>IF(#REF!&lt;17200,DISTÂNCIA3[[#This Row],[KM PARA PAGAMENTO DOS FRETES]]*4.74,((#REF!/17200)*4.74)*DISTÂNCIA3[[#This Row],[KM PARA PAGAMENTO DOS FRETES]])</f>
        <v>#REF!</v>
      </c>
      <c r="J6" s="4">
        <f>DISTÂNCIA3[[#This Row],[Valor CTE]]/DISTÂNCIA3[[#This Row],[KM PARA PAGAMENTO DOS FRETES]]</f>
        <v>5.255221238938053</v>
      </c>
      <c r="K6" s="6">
        <f t="shared" si="0"/>
        <v>711.75</v>
      </c>
      <c r="L6" s="6">
        <f>0.92*DISTÂNCIA3[[#This Row],[KM distancia]]*4.578</f>
        <v>475.92888000000005</v>
      </c>
      <c r="M6" s="6">
        <f t="shared" si="1"/>
        <v>1187.68</v>
      </c>
    </row>
    <row r="7" spans="1:13" x14ac:dyDescent="0.35">
      <c r="A7">
        <f>'DASE DADOS - DISTANCIA'!A7</f>
        <v>29909</v>
      </c>
      <c r="B7" t="str">
        <f>'DASE DADOS - DISTANCIA'!B7</f>
        <v>MOACIR JOSE MORASKI</v>
      </c>
      <c r="C7" t="str">
        <f>'DASE DADOS - DISTANCIA'!C7</f>
        <v xml:space="preserve"> A3</v>
      </c>
      <c r="D7" t="str">
        <f>'DASE DADOS - DISTANCIA'!E7</f>
        <v>PRANCHITA</v>
      </c>
      <c r="E7" t="str">
        <f>'DASE DADOS - DISTANCIA'!I7</f>
        <v>PLUSVAL</v>
      </c>
      <c r="F7" s="7">
        <v>138</v>
      </c>
      <c r="G7">
        <f>'DASE DADOS - DISTANCIA'!J7</f>
        <v>276</v>
      </c>
      <c r="H7" s="2">
        <v>420</v>
      </c>
      <c r="I7" s="2" t="e">
        <f>IF(#REF!&lt;17200,DISTÂNCIA3[[#This Row],[KM PARA PAGAMENTO DOS FRETES]]*4.74,((#REF!/17200)*4.74)*DISTÂNCIA3[[#This Row],[KM PARA PAGAMENTO DOS FRETES]])</f>
        <v>#REF!</v>
      </c>
      <c r="J7" s="4">
        <f>DISTÂNCIA3[[#This Row],[Valor CTE]]/DISTÂNCIA3[[#This Row],[KM PARA PAGAMENTO DOS FRETES]]</f>
        <v>5.0993840579710144</v>
      </c>
      <c r="K7" s="6">
        <f t="shared" si="0"/>
        <v>826.2</v>
      </c>
      <c r="L7" s="6">
        <f>0.92*DISTÂNCIA3[[#This Row],[KM distancia]]*4.578</f>
        <v>581.22288000000003</v>
      </c>
      <c r="M7" s="6">
        <f t="shared" si="1"/>
        <v>1407.43</v>
      </c>
    </row>
    <row r="8" spans="1:13" hidden="1" x14ac:dyDescent="0.35">
      <c r="A8">
        <f>'DASE DADOS - DISTANCIA'!A8</f>
        <v>30064</v>
      </c>
      <c r="B8" t="str">
        <f>'DASE DADOS - DISTANCIA'!B8</f>
        <v>ADELAR GEBAUER</v>
      </c>
      <c r="C8" t="str">
        <f>'DASE DADOS - DISTANCIA'!C8</f>
        <v xml:space="preserve"> A2</v>
      </c>
      <c r="D8" t="str">
        <f>'DASE DADOS - DISTANCIA'!E8</f>
        <v>CAPANEMA</v>
      </c>
      <c r="E8" t="str">
        <f>'DASE DADOS - DISTANCIA'!I8</f>
        <v>PLUSVAL</v>
      </c>
      <c r="F8" s="7">
        <v>130</v>
      </c>
      <c r="G8">
        <f>'DASE DADOS - DISTANCIA'!J8</f>
        <v>260</v>
      </c>
      <c r="H8" s="2">
        <v>420</v>
      </c>
      <c r="I8" s="2" t="e">
        <f>IF(#REF!&lt;17200,DISTÂNCIA3[[#This Row],[KM PARA PAGAMENTO DOS FRETES]]*4.74,((#REF!/17200)*4.74)*DISTÂNCIA3[[#This Row],[KM PARA PAGAMENTO DOS FRETES]])</f>
        <v>#REF!</v>
      </c>
      <c r="J8" s="4">
        <f>DISTÂNCIA3[[#This Row],[Valor CTE]]/DISTÂNCIA3[[#This Row],[KM PARA PAGAMENTO DOS FRETES]]</f>
        <v>5.1427307692307691</v>
      </c>
      <c r="K8" s="6">
        <f t="shared" si="0"/>
        <v>789.58</v>
      </c>
      <c r="L8" s="6">
        <f>0.92*DISTÂNCIA3[[#This Row],[KM distancia]]*4.578</f>
        <v>547.52880000000005</v>
      </c>
      <c r="M8" s="6">
        <f t="shared" si="1"/>
        <v>1337.11</v>
      </c>
    </row>
    <row r="9" spans="1:13" hidden="1" x14ac:dyDescent="0.35">
      <c r="A9">
        <f>'DASE DADOS - DISTANCIA'!A9</f>
        <v>30668</v>
      </c>
      <c r="B9" t="str">
        <f>'DASE DADOS - DISTANCIA'!B9</f>
        <v>IARA MARIA SIGNOR LAZAROTO</v>
      </c>
      <c r="C9" t="str">
        <f>'DASE DADOS - DISTANCIA'!C9</f>
        <v xml:space="preserve"> A1</v>
      </c>
      <c r="D9" t="str">
        <f>'DASE DADOS - DISTANCIA'!E9</f>
        <v>SANTO ANTÔNIO DO SUDOESTE</v>
      </c>
      <c r="E9" t="str">
        <f>'DASE DADOS - DISTANCIA'!I9</f>
        <v>PLUSVAL</v>
      </c>
      <c r="F9" s="7">
        <v>168</v>
      </c>
      <c r="G9">
        <f>'DASE DADOS - DISTANCIA'!J9</f>
        <v>336</v>
      </c>
      <c r="H9" s="2">
        <v>420</v>
      </c>
      <c r="I9" s="2" t="e">
        <f>IF(#REF!&lt;17200,DISTÂNCIA3[[#This Row],[KM PARA PAGAMENTO DOS FRETES]]*4.74,((#REF!/17200)*4.74)*DISTÂNCIA3[[#This Row],[KM PARA PAGAMENTO DOS FRETES]])</f>
        <v>#REF!</v>
      </c>
      <c r="J9" s="4">
        <f>DISTÂNCIA3[[#This Row],[Valor CTE]]/DISTÂNCIA3[[#This Row],[KM PARA PAGAMENTO DOS FRETES]]</f>
        <v>4.9735714285714279</v>
      </c>
      <c r="K9" s="6">
        <f t="shared" si="0"/>
        <v>963.54</v>
      </c>
      <c r="L9" s="6">
        <f>0.92*DISTÂNCIA3[[#This Row],[KM distancia]]*4.578</f>
        <v>707.57568000000003</v>
      </c>
      <c r="M9" s="6">
        <f t="shared" si="1"/>
        <v>1671.12</v>
      </c>
    </row>
    <row r="10" spans="1:13" hidden="1" x14ac:dyDescent="0.35">
      <c r="A10">
        <f>'DASE DADOS - DISTANCIA'!A10</f>
        <v>30064</v>
      </c>
      <c r="B10" t="str">
        <f>'DASE DADOS - DISTANCIA'!B10</f>
        <v>ADELAR GEBAUER</v>
      </c>
      <c r="C10" t="str">
        <f>'DASE DADOS - DISTANCIA'!C10</f>
        <v xml:space="preserve"> A1</v>
      </c>
      <c r="D10" t="str">
        <f>'DASE DADOS - DISTANCIA'!E10</f>
        <v>CAPANEMA</v>
      </c>
      <c r="E10" t="str">
        <f>'DASE DADOS - DISTANCIA'!I10</f>
        <v>PLUSVAL</v>
      </c>
      <c r="F10" s="7">
        <v>130</v>
      </c>
      <c r="G10">
        <f>'DASE DADOS - DISTANCIA'!J10</f>
        <v>260</v>
      </c>
      <c r="H10" s="2">
        <v>420</v>
      </c>
      <c r="I10" s="2" t="e">
        <f>IF(#REF!&lt;17200,DISTÂNCIA3[[#This Row],[KM PARA PAGAMENTO DOS FRETES]]*4.74,((#REF!/17200)*4.74)*DISTÂNCIA3[[#This Row],[KM PARA PAGAMENTO DOS FRETES]])</f>
        <v>#REF!</v>
      </c>
      <c r="J10" s="4">
        <f>DISTÂNCIA3[[#This Row],[Valor CTE]]/DISTÂNCIA3[[#This Row],[KM PARA PAGAMENTO DOS FRETES]]</f>
        <v>5.1427307692307691</v>
      </c>
      <c r="K10" s="6">
        <f t="shared" si="0"/>
        <v>789.58</v>
      </c>
      <c r="L10" s="6">
        <f>0.92*DISTÂNCIA3[[#This Row],[KM distancia]]*4.578</f>
        <v>547.52880000000005</v>
      </c>
      <c r="M10" s="6">
        <f t="shared" si="1"/>
        <v>1337.11</v>
      </c>
    </row>
    <row r="11" spans="1:13" hidden="1" x14ac:dyDescent="0.35">
      <c r="A11">
        <f>'DASE DADOS - DISTANCIA'!A11</f>
        <v>30668</v>
      </c>
      <c r="B11" t="str">
        <f>'DASE DADOS - DISTANCIA'!B11</f>
        <v>IARA MARIA SIGNOR LAZAROTO</v>
      </c>
      <c r="C11" t="str">
        <f>'DASE DADOS - DISTANCIA'!C11</f>
        <v xml:space="preserve"> A2</v>
      </c>
      <c r="D11" t="str">
        <f>'DASE DADOS - DISTANCIA'!E11</f>
        <v>SANTO ANTÔNIO DO SUDOESTE</v>
      </c>
      <c r="E11" t="str">
        <f>'DASE DADOS - DISTANCIA'!I11</f>
        <v>PLUSVAL</v>
      </c>
      <c r="F11" s="7">
        <v>168</v>
      </c>
      <c r="G11">
        <f>'DASE DADOS - DISTANCIA'!J11</f>
        <v>336</v>
      </c>
      <c r="H11" s="2">
        <v>420</v>
      </c>
      <c r="I11" s="2" t="e">
        <f>IF(#REF!&lt;17200,DISTÂNCIA3[[#This Row],[KM PARA PAGAMENTO DOS FRETES]]*4.74,((#REF!/17200)*4.74)*DISTÂNCIA3[[#This Row],[KM PARA PAGAMENTO DOS FRETES]])</f>
        <v>#REF!</v>
      </c>
      <c r="J11" s="4">
        <f>DISTÂNCIA3[[#This Row],[Valor CTE]]/DISTÂNCIA3[[#This Row],[KM PARA PAGAMENTO DOS FRETES]]</f>
        <v>4.9735714285714279</v>
      </c>
      <c r="K11" s="6">
        <f t="shared" si="0"/>
        <v>963.54</v>
      </c>
      <c r="L11" s="6">
        <f>0.92*DISTÂNCIA3[[#This Row],[KM distancia]]*4.578</f>
        <v>707.57568000000003</v>
      </c>
      <c r="M11" s="6">
        <f t="shared" si="1"/>
        <v>1671.12</v>
      </c>
    </row>
    <row r="12" spans="1:13" hidden="1" x14ac:dyDescent="0.35">
      <c r="A12">
        <f>'DASE DADOS - DISTANCIA'!A12</f>
        <v>5760739</v>
      </c>
      <c r="B12" t="str">
        <f>'DASE DADOS - DISTANCIA'!B12</f>
        <v>ADELAR LUIZ STURMER</v>
      </c>
      <c r="C12" t="str">
        <f>'DASE DADOS - DISTANCIA'!C12</f>
        <v xml:space="preserve"> A1</v>
      </c>
      <c r="D12" t="str">
        <f>'DASE DADOS - DISTANCIA'!E12</f>
        <v>CASCAVEL</v>
      </c>
      <c r="E12" t="str">
        <f>'DASE DADOS - DISTANCIA'!I12</f>
        <v>PLUMA</v>
      </c>
      <c r="F12" s="7">
        <v>34</v>
      </c>
      <c r="G12">
        <f>'DASE DADOS - DISTANCIA'!J12</f>
        <v>68</v>
      </c>
      <c r="H12" s="2">
        <v>420</v>
      </c>
      <c r="I12" s="2" t="e">
        <f>IF(#REF!&lt;17200,DISTÂNCIA3[[#This Row],[KM PARA PAGAMENTO DOS FRETES]]*4.74,((#REF!/17200)*4.74)*DISTÂNCIA3[[#This Row],[KM PARA PAGAMENTO DOS FRETES]])</f>
        <v>#REF!</v>
      </c>
      <c r="J12" s="4">
        <f>DISTÂNCIA3[[#This Row],[Valor CTE]]/DISTÂNCIA3[[#This Row],[KM PARA PAGAMENTO DOS FRETES]]</f>
        <v>7.2542647058823535</v>
      </c>
      <c r="K12" s="6">
        <f t="shared" si="0"/>
        <v>350.09</v>
      </c>
      <c r="L12" s="6">
        <f>0.92*DISTÂNCIA3[[#This Row],[KM distancia]]*4.578</f>
        <v>143.19984000000002</v>
      </c>
      <c r="M12" s="6">
        <f t="shared" si="1"/>
        <v>493.29</v>
      </c>
    </row>
    <row r="13" spans="1:13" hidden="1" x14ac:dyDescent="0.35">
      <c r="A13">
        <f>'DASE DADOS - DISTANCIA'!A13</f>
        <v>30668</v>
      </c>
      <c r="B13" t="str">
        <f>'DASE DADOS - DISTANCIA'!B13</f>
        <v>IARA MARIA SIGNOR LAZAROTO</v>
      </c>
      <c r="C13" t="str">
        <f>'DASE DADOS - DISTANCIA'!C13</f>
        <v xml:space="preserve"> A3</v>
      </c>
      <c r="D13" t="str">
        <f>'DASE DADOS - DISTANCIA'!E13</f>
        <v>SANTO ANTÔNIO DO SUDOESTE</v>
      </c>
      <c r="E13" t="str">
        <f>'DASE DADOS - DISTANCIA'!I13</f>
        <v>PLUSVAL</v>
      </c>
      <c r="F13" s="7">
        <v>168</v>
      </c>
      <c r="G13">
        <f>'DASE DADOS - DISTANCIA'!J13</f>
        <v>336</v>
      </c>
      <c r="H13" s="2">
        <v>420</v>
      </c>
      <c r="I13" s="2" t="e">
        <f>IF(#REF!&lt;17200,DISTÂNCIA3[[#This Row],[KM PARA PAGAMENTO DOS FRETES]]*4.74,((#REF!/17200)*4.74)*DISTÂNCIA3[[#This Row],[KM PARA PAGAMENTO DOS FRETES]])</f>
        <v>#REF!</v>
      </c>
      <c r="J13" s="4">
        <f>DISTÂNCIA3[[#This Row],[Valor CTE]]/DISTÂNCIA3[[#This Row],[KM PARA PAGAMENTO DOS FRETES]]</f>
        <v>4.9735714285714279</v>
      </c>
      <c r="K13" s="6">
        <f t="shared" si="0"/>
        <v>963.54</v>
      </c>
      <c r="L13" s="6">
        <f>0.92*DISTÂNCIA3[[#This Row],[KM distancia]]*4.578</f>
        <v>707.57568000000003</v>
      </c>
      <c r="M13" s="6">
        <f t="shared" si="1"/>
        <v>1671.12</v>
      </c>
    </row>
    <row r="14" spans="1:13" hidden="1" x14ac:dyDescent="0.35">
      <c r="A14">
        <f>'DASE DADOS - DISTANCIA'!A14</f>
        <v>5760739</v>
      </c>
      <c r="B14" t="str">
        <f>'DASE DADOS - DISTANCIA'!B14</f>
        <v>ADELAR LUIZ STURMER</v>
      </c>
      <c r="C14" t="str">
        <f>'DASE DADOS - DISTANCIA'!C14</f>
        <v xml:space="preserve"> A2</v>
      </c>
      <c r="D14" t="str">
        <f>'DASE DADOS - DISTANCIA'!E14</f>
        <v>CASCAVEL</v>
      </c>
      <c r="E14" t="str">
        <f>'DASE DADOS - DISTANCIA'!I14</f>
        <v>PLUMA</v>
      </c>
      <c r="F14" s="7">
        <v>34</v>
      </c>
      <c r="G14">
        <f>'DASE DADOS - DISTANCIA'!J14</f>
        <v>68</v>
      </c>
      <c r="H14" s="2">
        <v>420</v>
      </c>
      <c r="I14" s="2" t="e">
        <f>IF(#REF!&lt;17200,DISTÂNCIA3[[#This Row],[KM PARA PAGAMENTO DOS FRETES]]*4.74,((#REF!/17200)*4.74)*DISTÂNCIA3[[#This Row],[KM PARA PAGAMENTO DOS FRETES]])</f>
        <v>#REF!</v>
      </c>
      <c r="J14" s="4">
        <f>DISTÂNCIA3[[#This Row],[Valor CTE]]/DISTÂNCIA3[[#This Row],[KM PARA PAGAMENTO DOS FRETES]]</f>
        <v>7.2542647058823535</v>
      </c>
      <c r="K14" s="6">
        <f t="shared" si="0"/>
        <v>350.09</v>
      </c>
      <c r="L14" s="6">
        <f>0.92*DISTÂNCIA3[[#This Row],[KM distancia]]*4.578</f>
        <v>143.19984000000002</v>
      </c>
      <c r="M14" s="6">
        <f t="shared" si="1"/>
        <v>493.29</v>
      </c>
    </row>
    <row r="15" spans="1:13" hidden="1" x14ac:dyDescent="0.35">
      <c r="A15">
        <f>'DASE DADOS - DISTANCIA'!A15</f>
        <v>30057</v>
      </c>
      <c r="B15" t="str">
        <f>'DASE DADOS - DISTANCIA'!B15</f>
        <v>MARCELO ANDRE MORASKI</v>
      </c>
      <c r="C15" t="str">
        <f>'DASE DADOS - DISTANCIA'!C15</f>
        <v xml:space="preserve"> A2</v>
      </c>
      <c r="D15" t="str">
        <f>'DASE DADOS - DISTANCIA'!E15</f>
        <v>PRANCHITA</v>
      </c>
      <c r="E15" t="str">
        <f>'DASE DADOS - DISTANCIA'!I15</f>
        <v>PLUSVAL</v>
      </c>
      <c r="F15" s="7">
        <v>145</v>
      </c>
      <c r="G15">
        <f>'DASE DADOS - DISTANCIA'!J15</f>
        <v>290</v>
      </c>
      <c r="H15" s="2">
        <v>420</v>
      </c>
      <c r="I15" s="2" t="e">
        <f>IF(#REF!&lt;17200,DISTÂNCIA3[[#This Row],[KM PARA PAGAMENTO DOS FRETES]]*4.74,((#REF!/17200)*4.74)*DISTÂNCIA3[[#This Row],[KM PARA PAGAMENTO DOS FRETES]])</f>
        <v>#REF!</v>
      </c>
      <c r="J15" s="4">
        <f>DISTÂNCIA3[[#This Row],[Valor CTE]]/DISTÂNCIA3[[#This Row],[KM PARA PAGAMENTO DOS FRETES]]</f>
        <v>5.0653793103448281</v>
      </c>
      <c r="K15" s="6">
        <f t="shared" si="0"/>
        <v>858.25</v>
      </c>
      <c r="L15" s="6">
        <f>0.92*DISTÂNCIA3[[#This Row],[KM distancia]]*4.578</f>
        <v>610.7052000000001</v>
      </c>
      <c r="M15" s="6">
        <f t="shared" si="1"/>
        <v>1468.96</v>
      </c>
    </row>
    <row r="16" spans="1:13" hidden="1" x14ac:dyDescent="0.35">
      <c r="A16">
        <f>'DASE DADOS - DISTANCIA'!A16</f>
        <v>30065</v>
      </c>
      <c r="B16" t="str">
        <f>'DASE DADOS - DISTANCIA'!B16</f>
        <v>ADEMAR CATANEO</v>
      </c>
      <c r="C16" t="str">
        <f>'DASE DADOS - DISTANCIA'!C16</f>
        <v xml:space="preserve"> A2</v>
      </c>
      <c r="D16" t="str">
        <f>'DASE DADOS - DISTANCIA'!E16</f>
        <v>PLANALTO</v>
      </c>
      <c r="E16" t="str">
        <f>'DASE DADOS - DISTANCIA'!I16</f>
        <v>PLUSVAL</v>
      </c>
      <c r="F16" s="7">
        <v>127</v>
      </c>
      <c r="G16">
        <f>'DASE DADOS - DISTANCIA'!J16</f>
        <v>254</v>
      </c>
      <c r="H16" s="2">
        <v>420</v>
      </c>
      <c r="I16" s="2" t="e">
        <f>IF(#REF!&lt;17200,DISTÂNCIA3[[#This Row],[KM PARA PAGAMENTO DOS FRETES]]*4.74,((#REF!/17200)*4.74)*DISTÂNCIA3[[#This Row],[KM PARA PAGAMENTO DOS FRETES]])</f>
        <v>#REF!</v>
      </c>
      <c r="J16" s="4">
        <f>DISTÂNCIA3[[#This Row],[Valor CTE]]/DISTÂNCIA3[[#This Row],[KM PARA PAGAMENTO DOS FRETES]]</f>
        <v>5.1603937007874014</v>
      </c>
      <c r="K16" s="6">
        <f t="shared" si="0"/>
        <v>775.85</v>
      </c>
      <c r="L16" s="6">
        <f>0.92*DISTÂNCIA3[[#This Row],[KM distancia]]*4.578</f>
        <v>534.89352000000008</v>
      </c>
      <c r="M16" s="6">
        <f t="shared" si="1"/>
        <v>1310.74</v>
      </c>
    </row>
    <row r="17" spans="1:13" hidden="1" x14ac:dyDescent="0.35">
      <c r="A17">
        <f>'DASE DADOS - DISTANCIA'!A17</f>
        <v>30057</v>
      </c>
      <c r="B17" t="str">
        <f>'DASE DADOS - DISTANCIA'!B17</f>
        <v>MARCELO ANDRE MORASKI</v>
      </c>
      <c r="C17" t="str">
        <f>'DASE DADOS - DISTANCIA'!C17</f>
        <v xml:space="preserve"> A3</v>
      </c>
      <c r="D17" t="str">
        <f>'DASE DADOS - DISTANCIA'!E17</f>
        <v>PRANCHITA</v>
      </c>
      <c r="E17" t="str">
        <f>'DASE DADOS - DISTANCIA'!I17</f>
        <v>PLUSVAL</v>
      </c>
      <c r="F17" s="7">
        <v>145</v>
      </c>
      <c r="G17">
        <f>'DASE DADOS - DISTANCIA'!J17</f>
        <v>290</v>
      </c>
      <c r="H17" s="2">
        <v>420</v>
      </c>
      <c r="I17" s="2" t="e">
        <f>IF(#REF!&lt;17200,DISTÂNCIA3[[#This Row],[KM PARA PAGAMENTO DOS FRETES]]*4.74,((#REF!/17200)*4.74)*DISTÂNCIA3[[#This Row],[KM PARA PAGAMENTO DOS FRETES]])</f>
        <v>#REF!</v>
      </c>
      <c r="J17" s="4">
        <f>DISTÂNCIA3[[#This Row],[Valor CTE]]/DISTÂNCIA3[[#This Row],[KM PARA PAGAMENTO DOS FRETES]]</f>
        <v>5.0653793103448281</v>
      </c>
      <c r="K17" s="6">
        <f t="shared" si="0"/>
        <v>858.25</v>
      </c>
      <c r="L17" s="6">
        <f>0.92*DISTÂNCIA3[[#This Row],[KM distancia]]*4.578</f>
        <v>610.7052000000001</v>
      </c>
      <c r="M17" s="6">
        <f t="shared" si="1"/>
        <v>1468.96</v>
      </c>
    </row>
    <row r="18" spans="1:13" hidden="1" x14ac:dyDescent="0.35">
      <c r="A18">
        <f>'DASE DADOS - DISTANCIA'!A18</f>
        <v>30065</v>
      </c>
      <c r="B18" t="str">
        <f>'DASE DADOS - DISTANCIA'!B18</f>
        <v>ADEMAR CATANEO</v>
      </c>
      <c r="C18" t="str">
        <f>'DASE DADOS - DISTANCIA'!C18</f>
        <v xml:space="preserve"> A1</v>
      </c>
      <c r="D18" t="str">
        <f>'DASE DADOS - DISTANCIA'!E18</f>
        <v>PLANALTO</v>
      </c>
      <c r="E18" t="str">
        <f>'DASE DADOS - DISTANCIA'!I18</f>
        <v>PLUSVAL</v>
      </c>
      <c r="F18" s="7">
        <v>127</v>
      </c>
      <c r="G18">
        <f>'DASE DADOS - DISTANCIA'!J18</f>
        <v>254</v>
      </c>
      <c r="H18" s="2">
        <v>420</v>
      </c>
      <c r="I18" s="2" t="e">
        <f>IF(#REF!&lt;17200,DISTÂNCIA3[[#This Row],[KM PARA PAGAMENTO DOS FRETES]]*4.74,((#REF!/17200)*4.74)*DISTÂNCIA3[[#This Row],[KM PARA PAGAMENTO DOS FRETES]])</f>
        <v>#REF!</v>
      </c>
      <c r="J18" s="4">
        <f>DISTÂNCIA3[[#This Row],[Valor CTE]]/DISTÂNCIA3[[#This Row],[KM PARA PAGAMENTO DOS FRETES]]</f>
        <v>5.1603937007874014</v>
      </c>
      <c r="K18" s="6">
        <f t="shared" si="0"/>
        <v>775.85</v>
      </c>
      <c r="L18" s="6">
        <f>0.92*DISTÂNCIA3[[#This Row],[KM distancia]]*4.578</f>
        <v>534.89352000000008</v>
      </c>
      <c r="M18" s="6">
        <f t="shared" si="1"/>
        <v>1310.74</v>
      </c>
    </row>
    <row r="19" spans="1:13" hidden="1" x14ac:dyDescent="0.35">
      <c r="A19">
        <f>'DASE DADOS - DISTANCIA'!A19</f>
        <v>30057</v>
      </c>
      <c r="B19" t="str">
        <f>'DASE DADOS - DISTANCIA'!B19</f>
        <v>MARCELO ANDRE MORASKI</v>
      </c>
      <c r="C19" t="str">
        <f>'DASE DADOS - DISTANCIA'!C19</f>
        <v xml:space="preserve"> A5</v>
      </c>
      <c r="D19" t="str">
        <f>'DASE DADOS - DISTANCIA'!E19</f>
        <v>PRANCHITA</v>
      </c>
      <c r="E19" t="str">
        <f>'DASE DADOS - DISTANCIA'!I19</f>
        <v>PLUSVAL</v>
      </c>
      <c r="F19" s="7">
        <v>145</v>
      </c>
      <c r="G19">
        <f>'DASE DADOS - DISTANCIA'!J19</f>
        <v>290</v>
      </c>
      <c r="H19" s="2">
        <v>420</v>
      </c>
      <c r="I19" s="2" t="e">
        <f>IF(#REF!&lt;17200,DISTÂNCIA3[[#This Row],[KM PARA PAGAMENTO DOS FRETES]]*4.74,((#REF!/17200)*4.74)*DISTÂNCIA3[[#This Row],[KM PARA PAGAMENTO DOS FRETES]])</f>
        <v>#REF!</v>
      </c>
      <c r="J19" s="4">
        <f>DISTÂNCIA3[[#This Row],[Valor CTE]]/DISTÂNCIA3[[#This Row],[KM PARA PAGAMENTO DOS FRETES]]</f>
        <v>5.0653793103448281</v>
      </c>
      <c r="K19" s="6">
        <f t="shared" si="0"/>
        <v>858.25</v>
      </c>
      <c r="L19" s="6">
        <f>0.92*DISTÂNCIA3[[#This Row],[KM distancia]]*4.578</f>
        <v>610.7052000000001</v>
      </c>
      <c r="M19" s="6">
        <f t="shared" si="1"/>
        <v>1468.96</v>
      </c>
    </row>
    <row r="20" spans="1:13" hidden="1" x14ac:dyDescent="0.35">
      <c r="A20">
        <f>'DASE DADOS - DISTANCIA'!A20</f>
        <v>5521955</v>
      </c>
      <c r="B20" t="str">
        <f>'DASE DADOS - DISTANCIA'!B20</f>
        <v>ADEMAR MARLOW</v>
      </c>
      <c r="C20" t="str">
        <f>'DASE DADOS - DISTANCIA'!C20</f>
        <v xml:space="preserve"> A1</v>
      </c>
      <c r="D20" t="str">
        <f>'DASE DADOS - DISTANCIA'!E20</f>
        <v>NOVA SANTA ROSA</v>
      </c>
      <c r="E20" t="str">
        <f>'DASE DADOS - DISTANCIA'!I20</f>
        <v>PLUMA</v>
      </c>
      <c r="F20" s="7">
        <v>92</v>
      </c>
      <c r="G20">
        <f>'DASE DADOS - DISTANCIA'!J20</f>
        <v>183</v>
      </c>
      <c r="H20" s="2">
        <v>420</v>
      </c>
      <c r="I20" s="2" t="e">
        <f>IF(#REF!&lt;17200,DISTÂNCIA3[[#This Row],[KM PARA PAGAMENTO DOS FRETES]]*4.74,((#REF!/17200)*4.74)*DISTÂNCIA3[[#This Row],[KM PARA PAGAMENTO DOS FRETES]])</f>
        <v>#REF!</v>
      </c>
      <c r="J20" s="4">
        <f>DISTÂNCIA3[[#This Row],[Valor CTE]]/DISTÂNCIA3[[#This Row],[KM PARA PAGAMENTO DOS FRETES]]</f>
        <v>5.4814207650273223</v>
      </c>
      <c r="K20" s="6">
        <f t="shared" si="0"/>
        <v>615.62</v>
      </c>
      <c r="L20" s="6">
        <f>0.92*DISTÂNCIA3[[#This Row],[KM distancia]]*4.578</f>
        <v>387.48192</v>
      </c>
      <c r="M20" s="6">
        <f t="shared" si="1"/>
        <v>1003.1</v>
      </c>
    </row>
    <row r="21" spans="1:13" hidden="1" x14ac:dyDescent="0.35">
      <c r="A21">
        <f>'DASE DADOS - DISTANCIA'!A21</f>
        <v>30057</v>
      </c>
      <c r="B21" t="str">
        <f>'DASE DADOS - DISTANCIA'!B21</f>
        <v>MARCELO ANDRE MORASKI</v>
      </c>
      <c r="C21" t="str">
        <f>'DASE DADOS - DISTANCIA'!C21</f>
        <v xml:space="preserve"> A4</v>
      </c>
      <c r="D21" t="str">
        <f>'DASE DADOS - DISTANCIA'!E21</f>
        <v>PRANCHITA</v>
      </c>
      <c r="E21" t="str">
        <f>'DASE DADOS - DISTANCIA'!I21</f>
        <v>PLUSVAL</v>
      </c>
      <c r="F21" s="7">
        <v>145</v>
      </c>
      <c r="G21">
        <f>'DASE DADOS - DISTANCIA'!J21</f>
        <v>290</v>
      </c>
      <c r="H21" s="2">
        <v>420</v>
      </c>
      <c r="I21" s="2" t="e">
        <f>IF(#REF!&lt;17200,DISTÂNCIA3[[#This Row],[KM PARA PAGAMENTO DOS FRETES]]*4.74,((#REF!/17200)*4.74)*DISTÂNCIA3[[#This Row],[KM PARA PAGAMENTO DOS FRETES]])</f>
        <v>#REF!</v>
      </c>
      <c r="J21" s="4">
        <f>DISTÂNCIA3[[#This Row],[Valor CTE]]/DISTÂNCIA3[[#This Row],[KM PARA PAGAMENTO DOS FRETES]]</f>
        <v>5.0653793103448281</v>
      </c>
      <c r="K21" s="6">
        <f t="shared" si="0"/>
        <v>858.25</v>
      </c>
      <c r="L21" s="6">
        <f>0.92*DISTÂNCIA3[[#This Row],[KM distancia]]*4.578</f>
        <v>610.7052000000001</v>
      </c>
      <c r="M21" s="6">
        <f t="shared" si="1"/>
        <v>1468.96</v>
      </c>
    </row>
    <row r="22" spans="1:13" hidden="1" x14ac:dyDescent="0.35">
      <c r="A22">
        <f>'DASE DADOS - DISTANCIA'!A22</f>
        <v>30049</v>
      </c>
      <c r="B22" t="str">
        <f>'DASE DADOS - DISTANCIA'!B22</f>
        <v>ADEMIR FREI</v>
      </c>
      <c r="C22" t="str">
        <f>'DASE DADOS - DISTANCIA'!C22</f>
        <v xml:space="preserve"> A1</v>
      </c>
      <c r="D22" t="str">
        <f>'DASE DADOS - DISTANCIA'!E22</f>
        <v>CAPANEMA</v>
      </c>
      <c r="E22" t="str">
        <f>'DASE DADOS - DISTANCIA'!I22</f>
        <v>PLUSVAL</v>
      </c>
      <c r="F22" s="7">
        <v>121</v>
      </c>
      <c r="G22">
        <f>'DASE DADOS - DISTANCIA'!J22</f>
        <v>242</v>
      </c>
      <c r="H22" s="2">
        <v>420</v>
      </c>
      <c r="I22" s="2" t="e">
        <f>IF(#REF!&lt;17200,DISTÂNCIA3[[#This Row],[KM PARA PAGAMENTO DOS FRETES]]*4.74,((#REF!/17200)*4.74)*DISTÂNCIA3[[#This Row],[KM PARA PAGAMENTO DOS FRETES]])</f>
        <v>#REF!</v>
      </c>
      <c r="J22" s="4">
        <f>DISTÂNCIA3[[#This Row],[Valor CTE]]/DISTÂNCIA3[[#This Row],[KM PARA PAGAMENTO DOS FRETES]]</f>
        <v>5.1983471074380168</v>
      </c>
      <c r="K22" s="6">
        <f t="shared" si="0"/>
        <v>748.38</v>
      </c>
      <c r="L22" s="6">
        <f>0.92*DISTÂNCIA3[[#This Row],[KM distancia]]*4.578</f>
        <v>509.62296000000009</v>
      </c>
      <c r="M22" s="6">
        <f t="shared" si="1"/>
        <v>1258</v>
      </c>
    </row>
    <row r="23" spans="1:13" x14ac:dyDescent="0.35">
      <c r="A23">
        <f>'DASE DADOS - DISTANCIA'!A23</f>
        <v>29909</v>
      </c>
      <c r="B23" t="str">
        <f>'DASE DADOS - DISTANCIA'!B23</f>
        <v>MOACIR JOSE MORASKI</v>
      </c>
      <c r="C23" t="str">
        <f>'DASE DADOS - DISTANCIA'!C23</f>
        <v xml:space="preserve"> A1</v>
      </c>
      <c r="D23" t="str">
        <f>'DASE DADOS - DISTANCIA'!E23</f>
        <v>PRANCHITA</v>
      </c>
      <c r="E23" t="str">
        <f>'DASE DADOS - DISTANCIA'!I23</f>
        <v>PLUSVAL</v>
      </c>
      <c r="F23" s="7">
        <v>138</v>
      </c>
      <c r="G23">
        <f>'DASE DADOS - DISTANCIA'!J23</f>
        <v>276</v>
      </c>
      <c r="H23" s="2">
        <v>420</v>
      </c>
      <c r="I23" s="2" t="e">
        <f>IF(#REF!&lt;17200,DISTÂNCIA3[[#This Row],[KM PARA PAGAMENTO DOS FRETES]]*4.74,((#REF!/17200)*4.74)*DISTÂNCIA3[[#This Row],[KM PARA PAGAMENTO DOS FRETES]])</f>
        <v>#REF!</v>
      </c>
      <c r="J23" s="4">
        <f>DISTÂNCIA3[[#This Row],[Valor CTE]]/DISTÂNCIA3[[#This Row],[KM PARA PAGAMENTO DOS FRETES]]</f>
        <v>5.0993840579710144</v>
      </c>
      <c r="K23" s="6">
        <f t="shared" si="0"/>
        <v>826.2</v>
      </c>
      <c r="L23" s="6">
        <f>0.92*DISTÂNCIA3[[#This Row],[KM distancia]]*4.578</f>
        <v>581.22288000000003</v>
      </c>
      <c r="M23" s="6">
        <f t="shared" si="1"/>
        <v>1407.43</v>
      </c>
    </row>
    <row r="24" spans="1:13" hidden="1" x14ac:dyDescent="0.35">
      <c r="A24">
        <f>'DASE DADOS - DISTANCIA'!A24</f>
        <v>29441</v>
      </c>
      <c r="B24" t="str">
        <f>'DASE DADOS - DISTANCIA'!B24</f>
        <v>ADEMIR WUST RIBAS</v>
      </c>
      <c r="C24" t="str">
        <f>'DASE DADOS - DISTANCIA'!C24</f>
        <v xml:space="preserve"> A1</v>
      </c>
      <c r="D24" t="str">
        <f>'DASE DADOS - DISTANCIA'!E24</f>
        <v>PLANALTO</v>
      </c>
      <c r="E24" t="str">
        <f>'DASE DADOS - DISTANCIA'!I24</f>
        <v>PLUSVAL</v>
      </c>
      <c r="F24" s="7">
        <v>121</v>
      </c>
      <c r="G24">
        <f>'DASE DADOS - DISTANCIA'!J24</f>
        <v>242</v>
      </c>
      <c r="H24" s="2">
        <v>420</v>
      </c>
      <c r="I24" s="2" t="e">
        <f>IF(#REF!&lt;17200,DISTÂNCIA3[[#This Row],[KM PARA PAGAMENTO DOS FRETES]]*4.74,((#REF!/17200)*4.74)*DISTÂNCIA3[[#This Row],[KM PARA PAGAMENTO DOS FRETES]])</f>
        <v>#REF!</v>
      </c>
      <c r="J24" s="4">
        <f>DISTÂNCIA3[[#This Row],[Valor CTE]]/DISTÂNCIA3[[#This Row],[KM PARA PAGAMENTO DOS FRETES]]</f>
        <v>5.1983471074380168</v>
      </c>
      <c r="K24" s="6">
        <f t="shared" si="0"/>
        <v>748.38</v>
      </c>
      <c r="L24" s="6">
        <f>0.92*DISTÂNCIA3[[#This Row],[KM distancia]]*4.578</f>
        <v>509.62296000000009</v>
      </c>
      <c r="M24" s="6">
        <f t="shared" si="1"/>
        <v>1258</v>
      </c>
    </row>
    <row r="25" spans="1:13" x14ac:dyDescent="0.35">
      <c r="A25">
        <f>'DASE DADOS - DISTANCIA'!A25</f>
        <v>29909</v>
      </c>
      <c r="B25" t="str">
        <f>'DASE DADOS - DISTANCIA'!B25</f>
        <v>MOACIR JOSE MORASKI</v>
      </c>
      <c r="C25" t="str">
        <f>'DASE DADOS - DISTANCIA'!C25</f>
        <v xml:space="preserve"> A2</v>
      </c>
      <c r="D25" t="str">
        <f>'DASE DADOS - DISTANCIA'!E25</f>
        <v>PRANCHITA</v>
      </c>
      <c r="E25" t="str">
        <f>'DASE DADOS - DISTANCIA'!I25</f>
        <v>PLUSVAL</v>
      </c>
      <c r="F25" s="7">
        <v>138</v>
      </c>
      <c r="G25">
        <f>'DASE DADOS - DISTANCIA'!J25</f>
        <v>276</v>
      </c>
      <c r="H25" s="2">
        <v>420</v>
      </c>
      <c r="I25" s="2" t="e">
        <f>IF(#REF!&lt;17200,DISTÂNCIA3[[#This Row],[KM PARA PAGAMENTO DOS FRETES]]*4.74,((#REF!/17200)*4.74)*DISTÂNCIA3[[#This Row],[KM PARA PAGAMENTO DOS FRETES]])</f>
        <v>#REF!</v>
      </c>
      <c r="J25" s="4">
        <f>DISTÂNCIA3[[#This Row],[Valor CTE]]/DISTÂNCIA3[[#This Row],[KM PARA PAGAMENTO DOS FRETES]]</f>
        <v>5.0993840579710144</v>
      </c>
      <c r="K25" s="6">
        <f t="shared" si="0"/>
        <v>826.2</v>
      </c>
      <c r="L25" s="6">
        <f>0.92*DISTÂNCIA3[[#This Row],[KM distancia]]*4.578</f>
        <v>581.22288000000003</v>
      </c>
      <c r="M25" s="6">
        <f t="shared" si="1"/>
        <v>1407.43</v>
      </c>
    </row>
    <row r="26" spans="1:13" hidden="1" x14ac:dyDescent="0.35">
      <c r="A26">
        <f>'DASE DADOS - DISTANCIA'!A26</f>
        <v>29441</v>
      </c>
      <c r="B26" t="str">
        <f>'DASE DADOS - DISTANCIA'!B26</f>
        <v>ADEMIR WUST RIBAS</v>
      </c>
      <c r="C26" t="str">
        <f>'DASE DADOS - DISTANCIA'!C26</f>
        <v xml:space="preserve"> A2</v>
      </c>
      <c r="D26" t="str">
        <f>'DASE DADOS - DISTANCIA'!E26</f>
        <v>PLANALTO</v>
      </c>
      <c r="E26" t="str">
        <f>'DASE DADOS - DISTANCIA'!I26</f>
        <v>PLUSVAL</v>
      </c>
      <c r="F26" s="7">
        <v>121</v>
      </c>
      <c r="G26">
        <f>'DASE DADOS - DISTANCIA'!J26</f>
        <v>242</v>
      </c>
      <c r="H26" s="2">
        <v>420</v>
      </c>
      <c r="I26" s="2" t="e">
        <f>IF(#REF!&lt;17200,DISTÂNCIA3[[#This Row],[KM PARA PAGAMENTO DOS FRETES]]*4.74,((#REF!/17200)*4.74)*DISTÂNCIA3[[#This Row],[KM PARA PAGAMENTO DOS FRETES]])</f>
        <v>#REF!</v>
      </c>
      <c r="J26" s="4">
        <f>DISTÂNCIA3[[#This Row],[Valor CTE]]/DISTÂNCIA3[[#This Row],[KM PARA PAGAMENTO DOS FRETES]]</f>
        <v>5.1983471074380168</v>
      </c>
      <c r="K26" s="6">
        <f t="shared" si="0"/>
        <v>748.38</v>
      </c>
      <c r="L26" s="6">
        <f>0.92*DISTÂNCIA3[[#This Row],[KM distancia]]*4.578</f>
        <v>509.62296000000009</v>
      </c>
      <c r="M26" s="6">
        <f t="shared" si="1"/>
        <v>1258</v>
      </c>
    </row>
    <row r="27" spans="1:13" hidden="1" x14ac:dyDescent="0.35">
      <c r="A27">
        <f>'DASE DADOS - DISTANCIA'!A27</f>
        <v>29970</v>
      </c>
      <c r="B27" t="str">
        <f>'DASE DADOS - DISTANCIA'!B27</f>
        <v>PAULO ROGERIO GARDIN</v>
      </c>
      <c r="C27" t="str">
        <f>'DASE DADOS - DISTANCIA'!C27</f>
        <v xml:space="preserve"> A3</v>
      </c>
      <c r="D27" t="str">
        <f>'DASE DADOS - DISTANCIA'!E27</f>
        <v>PRANCHITA</v>
      </c>
      <c r="E27" t="str">
        <f>'DASE DADOS - DISTANCIA'!I27</f>
        <v>PLUSVAL</v>
      </c>
      <c r="F27" s="7">
        <v>146</v>
      </c>
      <c r="G27">
        <f>'DASE DADOS - DISTANCIA'!J27</f>
        <v>292</v>
      </c>
      <c r="H27" s="2">
        <v>420</v>
      </c>
      <c r="I27" s="2" t="e">
        <f>IF(#REF!&lt;17200,DISTÂNCIA3[[#This Row],[KM PARA PAGAMENTO DOS FRETES]]*4.74,((#REF!/17200)*4.74)*DISTÂNCIA3[[#This Row],[KM PARA PAGAMENTO DOS FRETES]])</f>
        <v>#REF!</v>
      </c>
      <c r="J27" s="4">
        <f>DISTÂNCIA3[[#This Row],[Valor CTE]]/DISTÂNCIA3[[#This Row],[KM PARA PAGAMENTO DOS FRETES]]</f>
        <v>5.0607534246575341</v>
      </c>
      <c r="K27" s="6">
        <f t="shared" si="0"/>
        <v>862.83</v>
      </c>
      <c r="L27" s="6">
        <f>0.92*DISTÂNCIA3[[#This Row],[KM distancia]]*4.578</f>
        <v>614.91696000000002</v>
      </c>
      <c r="M27" s="6">
        <f t="shared" si="1"/>
        <v>1477.74</v>
      </c>
    </row>
    <row r="28" spans="1:13" hidden="1" x14ac:dyDescent="0.35">
      <c r="A28">
        <f>'DASE DADOS - DISTANCIA'!A28</f>
        <v>29884</v>
      </c>
      <c r="B28" t="str">
        <f>'DASE DADOS - DISTANCIA'!B28</f>
        <v>ADENILSON ANTONIO CHIAMOLERA</v>
      </c>
      <c r="C28" t="str">
        <f>'DASE DADOS - DISTANCIA'!C28</f>
        <v xml:space="preserve"> A1</v>
      </c>
      <c r="D28" t="str">
        <f>'DASE DADOS - DISTANCIA'!E28</f>
        <v>CAPANEMA</v>
      </c>
      <c r="E28" t="str">
        <f>'DASE DADOS - DISTANCIA'!I28</f>
        <v>PLUSVAL</v>
      </c>
      <c r="F28" s="7">
        <v>123</v>
      </c>
      <c r="G28">
        <f>'DASE DADOS - DISTANCIA'!J28</f>
        <v>246</v>
      </c>
      <c r="H28" s="2">
        <v>420</v>
      </c>
      <c r="I28" s="2" t="e">
        <f>IF(#REF!&lt;17200,DISTÂNCIA3[[#This Row],[KM PARA PAGAMENTO DOS FRETES]]*4.74,((#REF!/17200)*4.74)*DISTÂNCIA3[[#This Row],[KM PARA PAGAMENTO DOS FRETES]])</f>
        <v>#REF!</v>
      </c>
      <c r="J28" s="4">
        <f>DISTÂNCIA3[[#This Row],[Valor CTE]]/DISTÂNCIA3[[#This Row],[KM PARA PAGAMENTO DOS FRETES]]</f>
        <v>5.1852845528455278</v>
      </c>
      <c r="K28" s="6">
        <f t="shared" si="0"/>
        <v>757.53</v>
      </c>
      <c r="L28" s="6">
        <f>0.92*DISTÂNCIA3[[#This Row],[KM distancia]]*4.578</f>
        <v>518.04648000000009</v>
      </c>
      <c r="M28" s="6">
        <f t="shared" si="1"/>
        <v>1275.58</v>
      </c>
    </row>
    <row r="29" spans="1:13" hidden="1" x14ac:dyDescent="0.35">
      <c r="A29">
        <f>'DASE DADOS - DISTANCIA'!A29</f>
        <v>29970</v>
      </c>
      <c r="B29" t="str">
        <f>'DASE DADOS - DISTANCIA'!B29</f>
        <v>PAULO ROGERIO GARDIN</v>
      </c>
      <c r="C29" t="str">
        <f>'DASE DADOS - DISTANCIA'!C29</f>
        <v xml:space="preserve"> A2</v>
      </c>
      <c r="D29" t="str">
        <f>'DASE DADOS - DISTANCIA'!E29</f>
        <v>PRANCHITA</v>
      </c>
      <c r="E29" t="str">
        <f>'DASE DADOS - DISTANCIA'!I29</f>
        <v>PLUSVAL</v>
      </c>
      <c r="F29" s="7">
        <v>146</v>
      </c>
      <c r="G29">
        <f>'DASE DADOS - DISTANCIA'!J29</f>
        <v>292</v>
      </c>
      <c r="H29" s="2">
        <v>420</v>
      </c>
      <c r="I29" s="2" t="e">
        <f>IF(#REF!&lt;17200,DISTÂNCIA3[[#This Row],[KM PARA PAGAMENTO DOS FRETES]]*4.74,((#REF!/17200)*4.74)*DISTÂNCIA3[[#This Row],[KM PARA PAGAMENTO DOS FRETES]])</f>
        <v>#REF!</v>
      </c>
      <c r="J29" s="4">
        <f>DISTÂNCIA3[[#This Row],[Valor CTE]]/DISTÂNCIA3[[#This Row],[KM PARA PAGAMENTO DOS FRETES]]</f>
        <v>5.0607534246575341</v>
      </c>
      <c r="K29" s="6">
        <f t="shared" si="0"/>
        <v>862.83</v>
      </c>
      <c r="L29" s="6">
        <f>0.92*DISTÂNCIA3[[#This Row],[KM distancia]]*4.578</f>
        <v>614.91696000000002</v>
      </c>
      <c r="M29" s="6">
        <f t="shared" si="1"/>
        <v>1477.74</v>
      </c>
    </row>
    <row r="30" spans="1:13" hidden="1" x14ac:dyDescent="0.35">
      <c r="A30">
        <f>'DASE DADOS - DISTANCIA'!A30</f>
        <v>30067</v>
      </c>
      <c r="B30" t="str">
        <f>'DASE DADOS - DISTANCIA'!B30</f>
        <v>ADILSON RINALDI FONTANELA</v>
      </c>
      <c r="C30" t="str">
        <f>'DASE DADOS - DISTANCIA'!C30</f>
        <v xml:space="preserve"> A1</v>
      </c>
      <c r="D30" t="str">
        <f>'DASE DADOS - DISTANCIA'!E30</f>
        <v>BOA VISTA DA APARECIDA</v>
      </c>
      <c r="E30" t="str">
        <f>'DASE DADOS - DISTANCIA'!I30</f>
        <v>PLUSVAL</v>
      </c>
      <c r="F30" s="7">
        <v>89</v>
      </c>
      <c r="G30">
        <f>'DASE DADOS - DISTANCIA'!J30</f>
        <v>178</v>
      </c>
      <c r="H30" s="2">
        <v>420</v>
      </c>
      <c r="I30" s="2" t="e">
        <f>IF(#REF!&lt;17200,DISTÂNCIA3[[#This Row],[KM PARA PAGAMENTO DOS FRETES]]*4.74,((#REF!/17200)*4.74)*DISTÂNCIA3[[#This Row],[KM PARA PAGAMENTO DOS FRETES]])</f>
        <v>#REF!</v>
      </c>
      <c r="J30" s="4">
        <f>DISTÂNCIA3[[#This Row],[Valor CTE]]/DISTÂNCIA3[[#This Row],[KM PARA PAGAMENTO DOS FRETES]]</f>
        <v>5.4872471910112361</v>
      </c>
      <c r="K30" s="6">
        <f t="shared" si="0"/>
        <v>601.88</v>
      </c>
      <c r="L30" s="6">
        <f>0.92*DISTÂNCIA3[[#This Row],[KM distancia]]*4.578</f>
        <v>374.84664000000009</v>
      </c>
      <c r="M30" s="6">
        <f t="shared" si="1"/>
        <v>976.73</v>
      </c>
    </row>
    <row r="31" spans="1:13" hidden="1" x14ac:dyDescent="0.35">
      <c r="A31">
        <f>'DASE DADOS - DISTANCIA'!A31</f>
        <v>29970</v>
      </c>
      <c r="B31" t="str">
        <f>'DASE DADOS - DISTANCIA'!B31</f>
        <v>PAULO ROGERIO GARDIN</v>
      </c>
      <c r="C31" t="str">
        <f>'DASE DADOS - DISTANCIA'!C31</f>
        <v xml:space="preserve"> A1</v>
      </c>
      <c r="D31" t="str">
        <f>'DASE DADOS - DISTANCIA'!E31</f>
        <v>PRANCHITA</v>
      </c>
      <c r="E31" t="str">
        <f>'DASE DADOS - DISTANCIA'!I31</f>
        <v>PLUSVAL</v>
      </c>
      <c r="F31" s="7">
        <v>146</v>
      </c>
      <c r="G31">
        <f>'DASE DADOS - DISTANCIA'!J31</f>
        <v>292</v>
      </c>
      <c r="H31" s="2">
        <v>420</v>
      </c>
      <c r="I31" s="2" t="e">
        <f>IF(#REF!&lt;17200,DISTÂNCIA3[[#This Row],[KM PARA PAGAMENTO DOS FRETES]]*4.74,((#REF!/17200)*4.74)*DISTÂNCIA3[[#This Row],[KM PARA PAGAMENTO DOS FRETES]])</f>
        <v>#REF!</v>
      </c>
      <c r="J31" s="4">
        <f>DISTÂNCIA3[[#This Row],[Valor CTE]]/DISTÂNCIA3[[#This Row],[KM PARA PAGAMENTO DOS FRETES]]</f>
        <v>5.0607534246575341</v>
      </c>
      <c r="K31" s="6">
        <f t="shared" si="0"/>
        <v>862.83</v>
      </c>
      <c r="L31" s="6">
        <f>0.92*DISTÂNCIA3[[#This Row],[KM distancia]]*4.578</f>
        <v>614.91696000000002</v>
      </c>
      <c r="M31" s="6">
        <f t="shared" si="1"/>
        <v>1477.74</v>
      </c>
    </row>
    <row r="32" spans="1:13" hidden="1" x14ac:dyDescent="0.35">
      <c r="A32">
        <f>'DASE DADOS - DISTANCIA'!A32</f>
        <v>1087258</v>
      </c>
      <c r="B32" t="str">
        <f>'DASE DADOS - DISTANCIA'!B32</f>
        <v>ADRIAN GABRIEL KIELING</v>
      </c>
      <c r="C32" t="str">
        <f>'DASE DADOS - DISTANCIA'!C32</f>
        <v xml:space="preserve"> A1</v>
      </c>
      <c r="D32" t="str">
        <f>'DASE DADOS - DISTANCIA'!E32</f>
        <v>CAPANEMA</v>
      </c>
      <c r="E32" t="str">
        <f>'DASE DADOS - DISTANCIA'!I32</f>
        <v>PLUSVAL</v>
      </c>
      <c r="F32" s="7">
        <v>103</v>
      </c>
      <c r="G32">
        <f>'DASE DADOS - DISTANCIA'!J32</f>
        <v>206</v>
      </c>
      <c r="H32" s="2">
        <v>420</v>
      </c>
      <c r="I32" s="2" t="e">
        <f>IF(#REF!&lt;17200,DISTÂNCIA3[[#This Row],[KM PARA PAGAMENTO DOS FRETES]]*4.74,((#REF!/17200)*4.74)*DISTÂNCIA3[[#This Row],[KM PARA PAGAMENTO DOS FRETES]])</f>
        <v>#REF!</v>
      </c>
      <c r="J32" s="4">
        <f>DISTÂNCIA3[[#This Row],[Valor CTE]]/DISTÂNCIA3[[#This Row],[KM PARA PAGAMENTO DOS FRETES]]</f>
        <v>5.3387864077669898</v>
      </c>
      <c r="K32" s="6">
        <f t="shared" si="0"/>
        <v>665.97</v>
      </c>
      <c r="L32" s="6">
        <f>0.92*DISTÂNCIA3[[#This Row],[KM distancia]]*4.578</f>
        <v>433.81128000000007</v>
      </c>
      <c r="M32" s="6">
        <f t="shared" si="1"/>
        <v>1099.79</v>
      </c>
    </row>
    <row r="33" spans="1:13" hidden="1" x14ac:dyDescent="0.35">
      <c r="A33">
        <f>'DASE DADOS - DISTANCIA'!A33</f>
        <v>44305</v>
      </c>
      <c r="B33" t="str">
        <f>'DASE DADOS - DISTANCIA'!B33</f>
        <v>ODIVAL PEREIRA</v>
      </c>
      <c r="C33" t="str">
        <f>'DASE DADOS - DISTANCIA'!C33</f>
        <v xml:space="preserve"> A1</v>
      </c>
      <c r="D33" t="str">
        <f>'DASE DADOS - DISTANCIA'!E33</f>
        <v>SANTO ANTÔNIO DO SUDOESTE</v>
      </c>
      <c r="E33" t="str">
        <f>'DASE DADOS - DISTANCIA'!I33</f>
        <v>PLUSVAL</v>
      </c>
      <c r="F33" s="7">
        <v>168</v>
      </c>
      <c r="G33">
        <f>'DASE DADOS - DISTANCIA'!J33</f>
        <v>336</v>
      </c>
      <c r="H33" s="2">
        <v>420</v>
      </c>
      <c r="I33" s="2" t="e">
        <f>IF(#REF!&lt;17200,DISTÂNCIA3[[#This Row],[KM PARA PAGAMENTO DOS FRETES]]*4.74,((#REF!/17200)*4.74)*DISTÂNCIA3[[#This Row],[KM PARA PAGAMENTO DOS FRETES]])</f>
        <v>#REF!</v>
      </c>
      <c r="J33" s="4">
        <f>DISTÂNCIA3[[#This Row],[Valor CTE]]/DISTÂNCIA3[[#This Row],[KM PARA PAGAMENTO DOS FRETES]]</f>
        <v>4.9735714285714279</v>
      </c>
      <c r="K33" s="6">
        <f t="shared" si="0"/>
        <v>963.54</v>
      </c>
      <c r="L33" s="6">
        <f>0.92*DISTÂNCIA3[[#This Row],[KM distancia]]*4.578</f>
        <v>707.57568000000003</v>
      </c>
      <c r="M33" s="6">
        <f t="shared" si="1"/>
        <v>1671.12</v>
      </c>
    </row>
    <row r="34" spans="1:13" hidden="1" x14ac:dyDescent="0.35">
      <c r="A34">
        <f>'DASE DADOS - DISTANCIA'!A34</f>
        <v>0</v>
      </c>
      <c r="B34" t="str">
        <f>'DASE DADOS - DISTANCIA'!B34</f>
        <v>ADRIANA DIEDRICHS</v>
      </c>
      <c r="C34" t="str">
        <f>'DASE DADOS - DISTANCIA'!C34</f>
        <v xml:space="preserve"> A4</v>
      </c>
      <c r="D34" t="str">
        <f>'DASE DADOS - DISTANCIA'!E34</f>
        <v>TOLEDO</v>
      </c>
      <c r="E34" t="str">
        <f>'DASE DADOS - DISTANCIA'!I34</f>
        <v>PLUMA</v>
      </c>
      <c r="F34" s="7">
        <v>78</v>
      </c>
      <c r="G34">
        <f>'DASE DADOS - DISTANCIA'!J34</f>
        <v>155</v>
      </c>
      <c r="H34" s="2">
        <v>420</v>
      </c>
      <c r="I34" s="2" t="e">
        <f>IF(#REF!&lt;17200,DISTÂNCIA3[[#This Row],[KM PARA PAGAMENTO DOS FRETES]]*4.74,((#REF!/17200)*4.74)*DISTÂNCIA3[[#This Row],[KM PARA PAGAMENTO DOS FRETES]])</f>
        <v>#REF!</v>
      </c>
      <c r="J34" s="4">
        <f>DISTÂNCIA3[[#This Row],[Valor CTE]]/DISTÂNCIA3[[#This Row],[KM PARA PAGAMENTO DOS FRETES]]</f>
        <v>5.6776774193548381</v>
      </c>
      <c r="K34" s="6">
        <f t="shared" si="0"/>
        <v>551.52</v>
      </c>
      <c r="L34" s="6">
        <f>0.92*DISTÂNCIA3[[#This Row],[KM distancia]]*4.578</f>
        <v>328.51728000000003</v>
      </c>
      <c r="M34" s="6">
        <f t="shared" si="1"/>
        <v>880.04</v>
      </c>
    </row>
    <row r="35" spans="1:13" hidden="1" x14ac:dyDescent="0.35">
      <c r="A35">
        <f>'DASE DADOS - DISTANCIA'!A35</f>
        <v>29436</v>
      </c>
      <c r="B35" t="str">
        <f>'DASE DADOS - DISTANCIA'!B35</f>
        <v>ALEXANDRE DAVI MARAN</v>
      </c>
      <c r="C35" t="str">
        <f>'DASE DADOS - DISTANCIA'!C35</f>
        <v xml:space="preserve"> A1</v>
      </c>
      <c r="D35" t="str">
        <f>'DASE DADOS - DISTANCIA'!E35</f>
        <v>SANTO ANTÔNIO DO SUDOESTE</v>
      </c>
      <c r="E35" t="str">
        <f>'DASE DADOS - DISTANCIA'!I35</f>
        <v>PLUSVAL</v>
      </c>
      <c r="F35" s="7">
        <v>167</v>
      </c>
      <c r="G35">
        <f>'DASE DADOS - DISTANCIA'!J35</f>
        <v>333</v>
      </c>
      <c r="H35" s="2">
        <v>420</v>
      </c>
      <c r="I35" s="2" t="e">
        <f>IF(#REF!&lt;17200,DISTÂNCIA3[[#This Row],[KM PARA PAGAMENTO DOS FRETES]]*4.74,((#REF!/17200)*4.74)*DISTÂNCIA3[[#This Row],[KM PARA PAGAMENTO DOS FRETES]])</f>
        <v>#REF!</v>
      </c>
      <c r="J35" s="4">
        <f>DISTÂNCIA3[[#This Row],[Valor CTE]]/DISTÂNCIA3[[#This Row],[KM PARA PAGAMENTO DOS FRETES]]</f>
        <v>4.991981981981982</v>
      </c>
      <c r="K35" s="6">
        <f t="shared" si="0"/>
        <v>958.97</v>
      </c>
      <c r="L35" s="6">
        <f>0.92*DISTÂNCIA3[[#This Row],[KM distancia]]*4.578</f>
        <v>703.36392000000012</v>
      </c>
      <c r="M35" s="6">
        <f t="shared" si="1"/>
        <v>1662.33</v>
      </c>
    </row>
    <row r="36" spans="1:13" hidden="1" x14ac:dyDescent="0.35">
      <c r="A36">
        <f>'DASE DADOS - DISTANCIA'!A36</f>
        <v>0</v>
      </c>
      <c r="B36" t="str">
        <f>'DASE DADOS - DISTANCIA'!B36</f>
        <v>ADRIANA DIEDRICHS</v>
      </c>
      <c r="C36" t="str">
        <f>'DASE DADOS - DISTANCIA'!C36</f>
        <v xml:space="preserve"> A3</v>
      </c>
      <c r="D36" t="str">
        <f>'DASE DADOS - DISTANCIA'!E36</f>
        <v>TOLEDO</v>
      </c>
      <c r="E36" t="str">
        <f>'DASE DADOS - DISTANCIA'!I36</f>
        <v>PLUMA</v>
      </c>
      <c r="F36" s="7">
        <v>78</v>
      </c>
      <c r="G36">
        <f>'DASE DADOS - DISTANCIA'!J36</f>
        <v>155</v>
      </c>
      <c r="H36" s="2">
        <v>420</v>
      </c>
      <c r="I36" s="2" t="e">
        <f>IF(#REF!&lt;17200,DISTÂNCIA3[[#This Row],[KM PARA PAGAMENTO DOS FRETES]]*4.74,((#REF!/17200)*4.74)*DISTÂNCIA3[[#This Row],[KM PARA PAGAMENTO DOS FRETES]])</f>
        <v>#REF!</v>
      </c>
      <c r="J36" s="4">
        <f>DISTÂNCIA3[[#This Row],[Valor CTE]]/DISTÂNCIA3[[#This Row],[KM PARA PAGAMENTO DOS FRETES]]</f>
        <v>5.6776774193548381</v>
      </c>
      <c r="K36" s="6">
        <f t="shared" si="0"/>
        <v>551.52</v>
      </c>
      <c r="L36" s="6">
        <f>0.92*DISTÂNCIA3[[#This Row],[KM distancia]]*4.578</f>
        <v>328.51728000000003</v>
      </c>
      <c r="M36" s="6">
        <f t="shared" si="1"/>
        <v>880.04</v>
      </c>
    </row>
    <row r="37" spans="1:13" hidden="1" x14ac:dyDescent="0.35">
      <c r="A37">
        <f>'DASE DADOS - DISTANCIA'!A37</f>
        <v>29910</v>
      </c>
      <c r="B37" t="str">
        <f>'DASE DADOS - DISTANCIA'!B37</f>
        <v>PAULO RODRIGUES DOS SANTOS</v>
      </c>
      <c r="C37" t="str">
        <f>'DASE DADOS - DISTANCIA'!C37</f>
        <v xml:space="preserve"> A1</v>
      </c>
      <c r="D37" t="str">
        <f>'DASE DADOS - DISTANCIA'!E37</f>
        <v>PRANCHITA</v>
      </c>
      <c r="E37" t="str">
        <f>'DASE DADOS - DISTANCIA'!I37</f>
        <v>PLUSVAL</v>
      </c>
      <c r="F37" s="7">
        <v>162</v>
      </c>
      <c r="G37">
        <f>'DASE DADOS - DISTANCIA'!J37</f>
        <v>323</v>
      </c>
      <c r="H37" s="2">
        <v>420</v>
      </c>
      <c r="I37" s="2" t="e">
        <f>IF(#REF!&lt;17200,DISTÂNCIA3[[#This Row],[KM PARA PAGAMENTO DOS FRETES]]*4.74,((#REF!/17200)*4.74)*DISTÂNCIA3[[#This Row],[KM PARA PAGAMENTO DOS FRETES]])</f>
        <v>#REF!</v>
      </c>
      <c r="J37" s="4">
        <f>DISTÂNCIA3[[#This Row],[Valor CTE]]/DISTÂNCIA3[[#This Row],[KM PARA PAGAMENTO DOS FRETES]]</f>
        <v>5.0104643962848296</v>
      </c>
      <c r="K37" s="6">
        <f t="shared" si="0"/>
        <v>936.08</v>
      </c>
      <c r="L37" s="6">
        <f>0.92*DISTÂNCIA3[[#This Row],[KM distancia]]*4.578</f>
        <v>682.3051200000001</v>
      </c>
      <c r="M37" s="6">
        <f t="shared" si="1"/>
        <v>1618.38</v>
      </c>
    </row>
    <row r="38" spans="1:13" hidden="1" x14ac:dyDescent="0.35">
      <c r="A38">
        <f>'DASE DADOS - DISTANCIA'!A38</f>
        <v>1123572</v>
      </c>
      <c r="B38" t="str">
        <f>'DASE DADOS - DISTANCIA'!B38</f>
        <v>ADRIANO AHMANN</v>
      </c>
      <c r="C38" t="str">
        <f>'DASE DADOS - DISTANCIA'!C38</f>
        <v xml:space="preserve"> A1</v>
      </c>
      <c r="D38" t="str">
        <f>'DASE DADOS - DISTANCIA'!E38</f>
        <v>CAPANEMA</v>
      </c>
      <c r="E38" t="str">
        <f>'DASE DADOS - DISTANCIA'!I38</f>
        <v>PLUSVAL</v>
      </c>
      <c r="F38" s="7">
        <v>130</v>
      </c>
      <c r="G38">
        <f>'DASE DADOS - DISTANCIA'!J38</f>
        <v>260</v>
      </c>
      <c r="H38" s="2">
        <v>420</v>
      </c>
      <c r="I38" s="2" t="e">
        <f>IF(#REF!&lt;17200,DISTÂNCIA3[[#This Row],[KM PARA PAGAMENTO DOS FRETES]]*4.74,((#REF!/17200)*4.74)*DISTÂNCIA3[[#This Row],[KM PARA PAGAMENTO DOS FRETES]])</f>
        <v>#REF!</v>
      </c>
      <c r="J38" s="4">
        <f>DISTÂNCIA3[[#This Row],[Valor CTE]]/DISTÂNCIA3[[#This Row],[KM PARA PAGAMENTO DOS FRETES]]</f>
        <v>5.1427307692307691</v>
      </c>
      <c r="K38" s="6">
        <f t="shared" si="0"/>
        <v>789.58</v>
      </c>
      <c r="L38" s="6">
        <f>0.92*DISTÂNCIA3[[#This Row],[KM distancia]]*4.578</f>
        <v>547.52880000000005</v>
      </c>
      <c r="M38" s="6">
        <f t="shared" si="1"/>
        <v>1337.11</v>
      </c>
    </row>
    <row r="39" spans="1:13" hidden="1" x14ac:dyDescent="0.35">
      <c r="A39">
        <f>'DASE DADOS - DISTANCIA'!A39</f>
        <v>30060</v>
      </c>
      <c r="B39" t="str">
        <f>'DASE DADOS - DISTANCIA'!B39</f>
        <v>ELTON HOFF</v>
      </c>
      <c r="C39" t="str">
        <f>'DASE DADOS - DISTANCIA'!C39</f>
        <v xml:space="preserve"> A1</v>
      </c>
      <c r="D39" t="str">
        <f>'DASE DADOS - DISTANCIA'!E39</f>
        <v>SANTO ANTÔNIO DO SUDOESTE</v>
      </c>
      <c r="E39" t="str">
        <f>'DASE DADOS - DISTANCIA'!I39</f>
        <v>PLUSVAL</v>
      </c>
      <c r="F39" s="7">
        <v>169</v>
      </c>
      <c r="G39">
        <f>'DASE DADOS - DISTANCIA'!J39</f>
        <v>338</v>
      </c>
      <c r="H39" s="2">
        <v>420</v>
      </c>
      <c r="I39" s="2" t="e">
        <f>IF(#REF!&lt;17200,DISTÂNCIA3[[#This Row],[KM PARA PAGAMENTO DOS FRETES]]*4.74,((#REF!/17200)*4.74)*DISTÂNCIA3[[#This Row],[KM PARA PAGAMENTO DOS FRETES]])</f>
        <v>#REF!</v>
      </c>
      <c r="J39" s="4">
        <f>DISTÂNCIA3[[#This Row],[Valor CTE]]/DISTÂNCIA3[[#This Row],[KM PARA PAGAMENTO DOS FRETES]]</f>
        <v>4.9701479289940833</v>
      </c>
      <c r="K39" s="6">
        <f t="shared" si="0"/>
        <v>968.12</v>
      </c>
      <c r="L39" s="6">
        <f>0.92*DISTÂNCIA3[[#This Row],[KM distancia]]*4.578</f>
        <v>711.78744000000017</v>
      </c>
      <c r="M39" s="6">
        <f t="shared" si="1"/>
        <v>1679.91</v>
      </c>
    </row>
    <row r="40" spans="1:13" hidden="1" x14ac:dyDescent="0.35">
      <c r="A40">
        <f>'DASE DADOS - DISTANCIA'!A40</f>
        <v>58390</v>
      </c>
      <c r="B40" t="str">
        <f>'DASE DADOS - DISTANCIA'!B40</f>
        <v>ADRIANO LAZZAROTO</v>
      </c>
      <c r="C40" t="str">
        <f>'DASE DADOS - DISTANCIA'!C40</f>
        <v xml:space="preserve"> A1</v>
      </c>
      <c r="D40" t="str">
        <f>'DASE DADOS - DISTANCIA'!E40</f>
        <v>SANTO ANTÔNIO DO SUDOESTE</v>
      </c>
      <c r="E40" t="str">
        <f>'DASE DADOS - DISTANCIA'!I40</f>
        <v>PLUSVAL</v>
      </c>
      <c r="F40" s="7">
        <v>169</v>
      </c>
      <c r="G40">
        <f>'DASE DADOS - DISTANCIA'!J40</f>
        <v>338</v>
      </c>
      <c r="H40" s="2">
        <v>420</v>
      </c>
      <c r="I40" s="2" t="e">
        <f>IF(#REF!&lt;17200,DISTÂNCIA3[[#This Row],[KM PARA PAGAMENTO DOS FRETES]]*4.74,((#REF!/17200)*4.74)*DISTÂNCIA3[[#This Row],[KM PARA PAGAMENTO DOS FRETES]])</f>
        <v>#REF!</v>
      </c>
      <c r="J40" s="4">
        <f>DISTÂNCIA3[[#This Row],[Valor CTE]]/DISTÂNCIA3[[#This Row],[KM PARA PAGAMENTO DOS FRETES]]</f>
        <v>4.9701479289940833</v>
      </c>
      <c r="K40" s="6">
        <f t="shared" si="0"/>
        <v>968.12</v>
      </c>
      <c r="L40" s="6">
        <f>0.92*DISTÂNCIA3[[#This Row],[KM distancia]]*4.578</f>
        <v>711.78744000000017</v>
      </c>
      <c r="M40" s="6">
        <f t="shared" si="1"/>
        <v>1679.91</v>
      </c>
    </row>
    <row r="41" spans="1:13" hidden="1" x14ac:dyDescent="0.35">
      <c r="A41">
        <f>'DASE DADOS - DISTANCIA'!A41</f>
        <v>30478</v>
      </c>
      <c r="B41" t="str">
        <f>'DASE DADOS - DISTANCIA'!B41</f>
        <v>TANIA MARIA TOFFOLI BALESTRIN</v>
      </c>
      <c r="C41" t="str">
        <f>'DASE DADOS - DISTANCIA'!C41</f>
        <v xml:space="preserve"> A1</v>
      </c>
      <c r="D41" t="str">
        <f>'DASE DADOS - DISTANCIA'!E41</f>
        <v>SANTO ANTÔNIO DO SUDOESTE</v>
      </c>
      <c r="E41" t="str">
        <f>'DASE DADOS - DISTANCIA'!I41</f>
        <v>PLUSVAL</v>
      </c>
      <c r="F41" s="7">
        <v>163</v>
      </c>
      <c r="G41">
        <f>'DASE DADOS - DISTANCIA'!J41</f>
        <v>325</v>
      </c>
      <c r="H41" s="2">
        <v>420</v>
      </c>
      <c r="I41" s="2" t="e">
        <f>IF(#REF!&lt;17200,DISTÂNCIA3[[#This Row],[KM PARA PAGAMENTO DOS FRETES]]*4.74,((#REF!/17200)*4.74)*DISTÂNCIA3[[#This Row],[KM PARA PAGAMENTO DOS FRETES]])</f>
        <v>#REF!</v>
      </c>
      <c r="J41" s="4">
        <f>DISTÂNCIA3[[#This Row],[Valor CTE]]/DISTÂNCIA3[[#This Row],[KM PARA PAGAMENTO DOS FRETES]]</f>
        <v>5.006676923076923</v>
      </c>
      <c r="K41" s="6">
        <f t="shared" si="0"/>
        <v>940.65</v>
      </c>
      <c r="L41" s="6">
        <f>0.92*DISTÂNCIA3[[#This Row],[KM distancia]]*4.578</f>
        <v>686.51688000000013</v>
      </c>
      <c r="M41" s="6">
        <f t="shared" si="1"/>
        <v>1627.17</v>
      </c>
    </row>
    <row r="42" spans="1:13" hidden="1" x14ac:dyDescent="0.35">
      <c r="A42">
        <f>'DASE DADOS - DISTANCIA'!A42</f>
        <v>4390792</v>
      </c>
      <c r="B42" t="str">
        <f>'DASE DADOS - DISTANCIA'!B42</f>
        <v>ADRIANO LUCAS BRIXNER</v>
      </c>
      <c r="C42" t="str">
        <f>'DASE DADOS - DISTANCIA'!C42</f>
        <v xml:space="preserve"> A2</v>
      </c>
      <c r="D42" t="str">
        <f>'DASE DADOS - DISTANCIA'!E42</f>
        <v>TUPASSI</v>
      </c>
      <c r="E42" t="str">
        <f>'DASE DADOS - DISTANCIA'!I42</f>
        <v>PLUMA</v>
      </c>
      <c r="F42" s="7">
        <v>63</v>
      </c>
      <c r="G42">
        <f>'DASE DADOS - DISTANCIA'!J42</f>
        <v>126</v>
      </c>
      <c r="H42" s="2">
        <v>420</v>
      </c>
      <c r="I42" s="2" t="e">
        <f>IF(#REF!&lt;17200,DISTÂNCIA3[[#This Row],[KM PARA PAGAMENTO DOS FRETES]]*4.74,((#REF!/17200)*4.74)*DISTÂNCIA3[[#This Row],[KM PARA PAGAMENTO DOS FRETES]])</f>
        <v>#REF!</v>
      </c>
      <c r="J42" s="4">
        <f>DISTÂNCIA3[[#This Row],[Valor CTE]]/DISTÂNCIA3[[#This Row],[KM PARA PAGAMENTO DOS FRETES]]</f>
        <v>5.9380158730158739</v>
      </c>
      <c r="K42" s="6">
        <f t="shared" si="0"/>
        <v>482.85</v>
      </c>
      <c r="L42" s="6">
        <f>0.92*DISTÂNCIA3[[#This Row],[KM distancia]]*4.578</f>
        <v>265.34088000000003</v>
      </c>
      <c r="M42" s="6">
        <f t="shared" si="1"/>
        <v>748.19</v>
      </c>
    </row>
    <row r="43" spans="1:13" hidden="1" x14ac:dyDescent="0.35">
      <c r="A43">
        <f>'DASE DADOS - DISTANCIA'!A43</f>
        <v>30478</v>
      </c>
      <c r="B43" t="str">
        <f>'DASE DADOS - DISTANCIA'!B43</f>
        <v>TANIA MARIA TOFFOLI BALESTRIN</v>
      </c>
      <c r="C43" t="str">
        <f>'DASE DADOS - DISTANCIA'!C43</f>
        <v xml:space="preserve"> A2</v>
      </c>
      <c r="D43" t="str">
        <f>'DASE DADOS - DISTANCIA'!E43</f>
        <v>SANTO ANTÔNIO DO SUDOESTE</v>
      </c>
      <c r="E43" t="str">
        <f>'DASE DADOS - DISTANCIA'!I43</f>
        <v>PLUSVAL</v>
      </c>
      <c r="F43" s="7">
        <v>163</v>
      </c>
      <c r="G43">
        <f>'DASE DADOS - DISTANCIA'!J43</f>
        <v>325</v>
      </c>
      <c r="H43" s="2">
        <v>420</v>
      </c>
      <c r="I43" s="2" t="e">
        <f>IF(#REF!&lt;17200,DISTÂNCIA3[[#This Row],[KM PARA PAGAMENTO DOS FRETES]]*4.74,((#REF!/17200)*4.74)*DISTÂNCIA3[[#This Row],[KM PARA PAGAMENTO DOS FRETES]])</f>
        <v>#REF!</v>
      </c>
      <c r="J43" s="4">
        <f>DISTÂNCIA3[[#This Row],[Valor CTE]]/DISTÂNCIA3[[#This Row],[KM PARA PAGAMENTO DOS FRETES]]</f>
        <v>5.006676923076923</v>
      </c>
      <c r="K43" s="6">
        <f t="shared" si="0"/>
        <v>940.65</v>
      </c>
      <c r="L43" s="6">
        <f>0.92*DISTÂNCIA3[[#This Row],[KM distancia]]*4.578</f>
        <v>686.51688000000013</v>
      </c>
      <c r="M43" s="6">
        <f t="shared" si="1"/>
        <v>1627.17</v>
      </c>
    </row>
    <row r="44" spans="1:13" hidden="1" x14ac:dyDescent="0.35">
      <c r="A44">
        <f>'DASE DADOS - DISTANCIA'!A44</f>
        <v>4390792</v>
      </c>
      <c r="B44" t="str">
        <f>'DASE DADOS - DISTANCIA'!B44</f>
        <v>ADRIANO LUCAS BRIXNER</v>
      </c>
      <c r="C44" t="str">
        <f>'DASE DADOS - DISTANCIA'!C44</f>
        <v xml:space="preserve"> A1</v>
      </c>
      <c r="D44" t="str">
        <f>'DASE DADOS - DISTANCIA'!E44</f>
        <v>TUPASSI</v>
      </c>
      <c r="E44" t="str">
        <f>'DASE DADOS - DISTANCIA'!I44</f>
        <v>PLUMA</v>
      </c>
      <c r="F44" s="7">
        <v>63</v>
      </c>
      <c r="G44">
        <f>'DASE DADOS - DISTANCIA'!J44</f>
        <v>126</v>
      </c>
      <c r="H44" s="2">
        <v>420</v>
      </c>
      <c r="I44" s="2" t="e">
        <f>IF(#REF!&lt;17200,DISTÂNCIA3[[#This Row],[KM PARA PAGAMENTO DOS FRETES]]*4.74,((#REF!/17200)*4.74)*DISTÂNCIA3[[#This Row],[KM PARA PAGAMENTO DOS FRETES]])</f>
        <v>#REF!</v>
      </c>
      <c r="J44" s="4">
        <f>DISTÂNCIA3[[#This Row],[Valor CTE]]/DISTÂNCIA3[[#This Row],[KM PARA PAGAMENTO DOS FRETES]]</f>
        <v>5.9380158730158739</v>
      </c>
      <c r="K44" s="6">
        <f t="shared" si="0"/>
        <v>482.85</v>
      </c>
      <c r="L44" s="6">
        <f>0.92*DISTÂNCIA3[[#This Row],[KM distancia]]*4.578</f>
        <v>265.34088000000003</v>
      </c>
      <c r="M44" s="6">
        <f t="shared" si="1"/>
        <v>748.19</v>
      </c>
    </row>
    <row r="45" spans="1:13" hidden="1" x14ac:dyDescent="0.35">
      <c r="A45">
        <f>'DASE DADOS - DISTANCIA'!A45</f>
        <v>1147641</v>
      </c>
      <c r="B45" t="str">
        <f>'DASE DADOS - DISTANCIA'!B45</f>
        <v>CLAUDECIR ROBERTI</v>
      </c>
      <c r="C45" t="str">
        <f>'DASE DADOS - DISTANCIA'!C45</f>
        <v xml:space="preserve"> A2</v>
      </c>
      <c r="D45" t="str">
        <f>'DASE DADOS - DISTANCIA'!E45</f>
        <v>SANTO ANTÔNIO DO SUDOESTE</v>
      </c>
      <c r="E45" t="str">
        <f>'DASE DADOS - DISTANCIA'!I45</f>
        <v>PLUSVAL</v>
      </c>
      <c r="F45" s="7">
        <v>161</v>
      </c>
      <c r="G45">
        <f>'DASE DADOS - DISTANCIA'!J45</f>
        <v>321</v>
      </c>
      <c r="H45" s="2">
        <v>420</v>
      </c>
      <c r="I45" s="2" t="e">
        <f>IF(#REF!&lt;17200,DISTÂNCIA3[[#This Row],[KM PARA PAGAMENTO DOS FRETES]]*4.74,((#REF!/17200)*4.74)*DISTÂNCIA3[[#This Row],[KM PARA PAGAMENTO DOS FRETES]])</f>
        <v>#REF!</v>
      </c>
      <c r="J45" s="4">
        <f>DISTÂNCIA3[[#This Row],[Valor CTE]]/DISTÂNCIA3[[#This Row],[KM PARA PAGAMENTO DOS FRETES]]</f>
        <v>5.0142990654205608</v>
      </c>
      <c r="K45" s="6">
        <f t="shared" si="0"/>
        <v>931.5</v>
      </c>
      <c r="L45" s="6">
        <f>0.92*DISTÂNCIA3[[#This Row],[KM distancia]]*4.578</f>
        <v>678.09336000000008</v>
      </c>
      <c r="M45" s="6">
        <f t="shared" si="1"/>
        <v>1609.59</v>
      </c>
    </row>
    <row r="46" spans="1:13" hidden="1" x14ac:dyDescent="0.35">
      <c r="A46">
        <f>'DASE DADOS - DISTANCIA'!A46</f>
        <v>30047</v>
      </c>
      <c r="B46" t="str">
        <f>'DASE DADOS - DISTANCIA'!B46</f>
        <v>ADRIANO ROBERTO FUHR DREY</v>
      </c>
      <c r="C46" t="str">
        <f>'DASE DADOS - DISTANCIA'!C46</f>
        <v xml:space="preserve"> A1</v>
      </c>
      <c r="D46" t="str">
        <f>'DASE DADOS - DISTANCIA'!E46</f>
        <v>PLANALTO</v>
      </c>
      <c r="E46" t="str">
        <f>'DASE DADOS - DISTANCIA'!I46</f>
        <v>PLUSVAL</v>
      </c>
      <c r="F46" s="7">
        <v>130</v>
      </c>
      <c r="G46">
        <f>'DASE DADOS - DISTANCIA'!J46</f>
        <v>260</v>
      </c>
      <c r="H46" s="2">
        <v>420</v>
      </c>
      <c r="I46" s="2" t="e">
        <f>IF(#REF!&lt;17200,DISTÂNCIA3[[#This Row],[KM PARA PAGAMENTO DOS FRETES]]*4.74,((#REF!/17200)*4.74)*DISTÂNCIA3[[#This Row],[KM PARA PAGAMENTO DOS FRETES]])</f>
        <v>#REF!</v>
      </c>
      <c r="J46" s="4">
        <f>DISTÂNCIA3[[#This Row],[Valor CTE]]/DISTÂNCIA3[[#This Row],[KM PARA PAGAMENTO DOS FRETES]]</f>
        <v>5.1427307692307691</v>
      </c>
      <c r="K46" s="6">
        <f t="shared" si="0"/>
        <v>789.58</v>
      </c>
      <c r="L46" s="6">
        <f>0.92*DISTÂNCIA3[[#This Row],[KM distancia]]*4.578</f>
        <v>547.52880000000005</v>
      </c>
      <c r="M46" s="6">
        <f t="shared" si="1"/>
        <v>1337.11</v>
      </c>
    </row>
    <row r="47" spans="1:13" hidden="1" x14ac:dyDescent="0.35">
      <c r="A47">
        <f>'DASE DADOS - DISTANCIA'!A47</f>
        <v>1147641</v>
      </c>
      <c r="B47" t="str">
        <f>'DASE DADOS - DISTANCIA'!B47</f>
        <v>CLAUDECIR ROBERTI</v>
      </c>
      <c r="C47" t="str">
        <f>'DASE DADOS - DISTANCIA'!C47</f>
        <v xml:space="preserve"> A3</v>
      </c>
      <c r="D47" t="str">
        <f>'DASE DADOS - DISTANCIA'!E47</f>
        <v>SANTO ANTÔNIO DO SUDOESTE</v>
      </c>
      <c r="E47" t="str">
        <f>'DASE DADOS - DISTANCIA'!I47</f>
        <v>PLUSVAL</v>
      </c>
      <c r="F47" s="7">
        <v>160.5</v>
      </c>
      <c r="G47">
        <f>'DASE DADOS - DISTANCIA'!J47</f>
        <v>321</v>
      </c>
      <c r="H47" s="2">
        <v>420</v>
      </c>
      <c r="I47" s="2" t="e">
        <f>IF(#REF!&lt;17200,DISTÂNCIA3[[#This Row],[KM PARA PAGAMENTO DOS FRETES]]*4.74,((#REF!/17200)*4.74)*DISTÂNCIA3[[#This Row],[KM PARA PAGAMENTO DOS FRETES]])</f>
        <v>#REF!</v>
      </c>
      <c r="J47" s="4">
        <f>DISTÂNCIA3[[#This Row],[Valor CTE]]/DISTÂNCIA3[[#This Row],[KM PARA PAGAMENTO DOS FRETES]]</f>
        <v>5.0006230529595017</v>
      </c>
      <c r="K47" s="6">
        <f t="shared" si="0"/>
        <v>929.21</v>
      </c>
      <c r="L47" s="6">
        <f>0.92*DISTÂNCIA3[[#This Row],[KM distancia]]*4.578</f>
        <v>675.98748000000001</v>
      </c>
      <c r="M47" s="6">
        <f t="shared" si="1"/>
        <v>1605.2</v>
      </c>
    </row>
    <row r="48" spans="1:13" hidden="1" x14ac:dyDescent="0.35">
      <c r="A48">
        <f>'DASE DADOS - DISTANCIA'!A48</f>
        <v>29421</v>
      </c>
      <c r="B48" t="str">
        <f>'DASE DADOS - DISTANCIA'!B48</f>
        <v>ADRIANO CESAR BILIBIO</v>
      </c>
      <c r="C48" t="str">
        <f>'DASE DADOS - DISTANCIA'!C48</f>
        <v xml:space="preserve"> A1</v>
      </c>
      <c r="D48" t="str">
        <f>'DASE DADOS - DISTANCIA'!E48</f>
        <v>CAPITÃO LEÔNIDAS MARQUES</v>
      </c>
      <c r="E48" t="str">
        <f>'DASE DADOS - DISTANCIA'!I48</f>
        <v>PLUSVAL</v>
      </c>
      <c r="F48" s="7">
        <v>69</v>
      </c>
      <c r="G48">
        <f>'DASE DADOS - DISTANCIA'!J48</f>
        <v>138</v>
      </c>
      <c r="H48" s="2">
        <v>420</v>
      </c>
      <c r="I48" s="2" t="e">
        <f>IF(#REF!&lt;17200,DISTÂNCIA3[[#This Row],[KM PARA PAGAMENTO DOS FRETES]]*4.74,((#REF!/17200)*4.74)*DISTÂNCIA3[[#This Row],[KM PARA PAGAMENTO DOS FRETES]])</f>
        <v>#REF!</v>
      </c>
      <c r="J48" s="4">
        <f>DISTÂNCIA3[[#This Row],[Valor CTE]]/DISTÂNCIA3[[#This Row],[KM PARA PAGAMENTO DOS FRETES]]</f>
        <v>5.8038405797101449</v>
      </c>
      <c r="K48" s="6">
        <f t="shared" si="0"/>
        <v>510.32</v>
      </c>
      <c r="L48" s="6">
        <f>0.92*DISTÂNCIA3[[#This Row],[KM distancia]]*4.578</f>
        <v>290.61144000000002</v>
      </c>
      <c r="M48" s="6">
        <f t="shared" si="1"/>
        <v>800.93</v>
      </c>
    </row>
    <row r="49" spans="1:13" hidden="1" x14ac:dyDescent="0.35">
      <c r="A49">
        <f>'DASE DADOS - DISTANCIA'!A49</f>
        <v>1147641</v>
      </c>
      <c r="B49" t="str">
        <f>'DASE DADOS - DISTANCIA'!B49</f>
        <v>CLAUDECIR ROBERTI</v>
      </c>
      <c r="C49" t="str">
        <f>'DASE DADOS - DISTANCIA'!C49</f>
        <v xml:space="preserve"> A4</v>
      </c>
      <c r="D49" t="str">
        <f>'DASE DADOS - DISTANCIA'!E49</f>
        <v>SANTO ANTÔNIO DO SUDOESTE</v>
      </c>
      <c r="E49" t="str">
        <f>'DASE DADOS - DISTANCIA'!I49</f>
        <v>PLUSVAL</v>
      </c>
      <c r="F49" s="7">
        <v>160.5</v>
      </c>
      <c r="G49">
        <f>'DASE DADOS - DISTANCIA'!J49</f>
        <v>321</v>
      </c>
      <c r="H49" s="2">
        <v>420</v>
      </c>
      <c r="I49" s="2" t="e">
        <f>IF(#REF!&lt;17200,DISTÂNCIA3[[#This Row],[KM PARA PAGAMENTO DOS FRETES]]*4.74,((#REF!/17200)*4.74)*DISTÂNCIA3[[#This Row],[KM PARA PAGAMENTO DOS FRETES]])</f>
        <v>#REF!</v>
      </c>
      <c r="J49" s="4">
        <f>DISTÂNCIA3[[#This Row],[Valor CTE]]/DISTÂNCIA3[[#This Row],[KM PARA PAGAMENTO DOS FRETES]]</f>
        <v>5.0006230529595017</v>
      </c>
      <c r="K49" s="6">
        <f t="shared" si="0"/>
        <v>929.21</v>
      </c>
      <c r="L49" s="6">
        <f>0.92*DISTÂNCIA3[[#This Row],[KM distancia]]*4.578</f>
        <v>675.98748000000001</v>
      </c>
      <c r="M49" s="6">
        <f t="shared" si="1"/>
        <v>1605.2</v>
      </c>
    </row>
    <row r="50" spans="1:13" hidden="1" x14ac:dyDescent="0.35">
      <c r="A50">
        <f>'DASE DADOS - DISTANCIA'!A50</f>
        <v>41542</v>
      </c>
      <c r="B50" t="str">
        <f>'DASE DADOS - DISTANCIA'!B50</f>
        <v>AILTON LUIZ SCHNEIDER</v>
      </c>
      <c r="C50" t="str">
        <f>'DASE DADOS - DISTANCIA'!C50</f>
        <v xml:space="preserve"> A1</v>
      </c>
      <c r="D50" t="str">
        <f>'DASE DADOS - DISTANCIA'!E50</f>
        <v>CAPANEMA</v>
      </c>
      <c r="E50" t="str">
        <f>'DASE DADOS - DISTANCIA'!I50</f>
        <v>PLUSVAL</v>
      </c>
      <c r="F50" s="7">
        <v>131.5</v>
      </c>
      <c r="G50">
        <f>'DASE DADOS - DISTANCIA'!J50</f>
        <v>263</v>
      </c>
      <c r="H50" s="2">
        <v>420</v>
      </c>
      <c r="I50" s="2" t="e">
        <f>IF(#REF!&lt;17200,DISTÂNCIA3[[#This Row],[KM PARA PAGAMENTO DOS FRETES]]*4.74,((#REF!/17200)*4.74)*DISTÂNCIA3[[#This Row],[KM PARA PAGAMENTO DOS FRETES]])</f>
        <v>#REF!</v>
      </c>
      <c r="J50" s="4">
        <f>DISTÂNCIA3[[#This Row],[Valor CTE]]/DISTÂNCIA3[[#This Row],[KM PARA PAGAMENTO DOS FRETES]]</f>
        <v>5.1341825095057034</v>
      </c>
      <c r="K50" s="6">
        <f t="shared" si="0"/>
        <v>796.45</v>
      </c>
      <c r="L50" s="6">
        <f>0.92*DISTÂNCIA3[[#This Row],[KM distancia]]*4.578</f>
        <v>553.84644000000003</v>
      </c>
      <c r="M50" s="6">
        <f t="shared" si="1"/>
        <v>1350.29</v>
      </c>
    </row>
    <row r="51" spans="1:13" hidden="1" x14ac:dyDescent="0.35">
      <c r="A51">
        <f>'DASE DADOS - DISTANCIA'!A51</f>
        <v>1147641</v>
      </c>
      <c r="B51" t="str">
        <f>'DASE DADOS - DISTANCIA'!B51</f>
        <v>CLAUDECIR ROBERTI</v>
      </c>
      <c r="C51" t="str">
        <f>'DASE DADOS - DISTANCIA'!C51</f>
        <v xml:space="preserve"> A1</v>
      </c>
      <c r="D51" t="str">
        <f>'DASE DADOS - DISTANCIA'!E51</f>
        <v>SANTO ANTÔNIO DO SUDOESTE</v>
      </c>
      <c r="E51" t="str">
        <f>'DASE DADOS - DISTANCIA'!I51</f>
        <v>PLUSVAL</v>
      </c>
      <c r="F51" s="7">
        <v>160.5</v>
      </c>
      <c r="G51">
        <f>'DASE DADOS - DISTANCIA'!J51</f>
        <v>321</v>
      </c>
      <c r="H51" s="2">
        <v>420</v>
      </c>
      <c r="I51" s="2" t="e">
        <f>IF(#REF!&lt;17200,DISTÂNCIA3[[#This Row],[KM PARA PAGAMENTO DOS FRETES]]*4.74,((#REF!/17200)*4.74)*DISTÂNCIA3[[#This Row],[KM PARA PAGAMENTO DOS FRETES]])</f>
        <v>#REF!</v>
      </c>
      <c r="J51" s="4">
        <f>DISTÂNCIA3[[#This Row],[Valor CTE]]/DISTÂNCIA3[[#This Row],[KM PARA PAGAMENTO DOS FRETES]]</f>
        <v>5.0006230529595017</v>
      </c>
      <c r="K51" s="6">
        <f t="shared" si="0"/>
        <v>929.21</v>
      </c>
      <c r="L51" s="6">
        <f>0.92*DISTÂNCIA3[[#This Row],[KM distancia]]*4.578</f>
        <v>675.98748000000001</v>
      </c>
      <c r="M51" s="6">
        <f t="shared" si="1"/>
        <v>1605.2</v>
      </c>
    </row>
    <row r="52" spans="1:13" hidden="1" x14ac:dyDescent="0.35">
      <c r="A52">
        <f>'DASE DADOS - DISTANCIA'!A52</f>
        <v>63561</v>
      </c>
      <c r="B52" t="str">
        <f>'DASE DADOS - DISTANCIA'!B52</f>
        <v>AIRTON FABIANO WIECZOREK</v>
      </c>
      <c r="C52" t="str">
        <f>'DASE DADOS - DISTANCIA'!C52</f>
        <v xml:space="preserve"> A1</v>
      </c>
      <c r="D52" t="str">
        <f>'DASE DADOS - DISTANCIA'!E52</f>
        <v>CAPANEMA</v>
      </c>
      <c r="E52" t="str">
        <f>'DASE DADOS - DISTANCIA'!I52</f>
        <v>PLUSVAL</v>
      </c>
      <c r="F52" s="7">
        <v>121.5</v>
      </c>
      <c r="G52">
        <f>'DASE DADOS - DISTANCIA'!J52</f>
        <v>243</v>
      </c>
      <c r="H52" s="2">
        <v>420</v>
      </c>
      <c r="I52" s="2" t="e">
        <f>IF(#REF!&lt;17200,DISTÂNCIA3[[#This Row],[KM PARA PAGAMENTO DOS FRETES]]*4.74,((#REF!/17200)*4.74)*DISTÂNCIA3[[#This Row],[KM PARA PAGAMENTO DOS FRETES]])</f>
        <v>#REF!</v>
      </c>
      <c r="J52" s="4">
        <f>DISTÂNCIA3[[#This Row],[Valor CTE]]/DISTÂNCIA3[[#This Row],[KM PARA PAGAMENTO DOS FRETES]]</f>
        <v>5.1950617283950624</v>
      </c>
      <c r="K52" s="6">
        <f t="shared" si="0"/>
        <v>750.67</v>
      </c>
      <c r="L52" s="6">
        <f>0.92*DISTÂNCIA3[[#This Row],[KM distancia]]*4.578</f>
        <v>511.72884000000005</v>
      </c>
      <c r="M52" s="6">
        <f t="shared" si="1"/>
        <v>1262.4000000000001</v>
      </c>
    </row>
    <row r="53" spans="1:13" hidden="1" x14ac:dyDescent="0.35">
      <c r="A53">
        <f>'DASE DADOS - DISTANCIA'!A53</f>
        <v>29442</v>
      </c>
      <c r="B53" t="str">
        <f>'DASE DADOS - DISTANCIA'!B53</f>
        <v>VILMAR FRANCISCO DAL BO JUNIOR</v>
      </c>
      <c r="C53" t="str">
        <f>'DASE DADOS - DISTANCIA'!C53</f>
        <v xml:space="preserve"> A8</v>
      </c>
      <c r="D53" t="str">
        <f>'DASE DADOS - DISTANCIA'!E53</f>
        <v>PRANCHITA</v>
      </c>
      <c r="E53" t="str">
        <f>'DASE DADOS - DISTANCIA'!I53</f>
        <v>PLUSVAL</v>
      </c>
      <c r="F53" s="7">
        <v>155</v>
      </c>
      <c r="G53">
        <f>'DASE DADOS - DISTANCIA'!J53</f>
        <v>310</v>
      </c>
      <c r="H53" s="2">
        <v>420</v>
      </c>
      <c r="I53" s="2" t="e">
        <f>IF(#REF!&lt;17200,DISTÂNCIA3[[#This Row],[KM PARA PAGAMENTO DOS FRETES]]*4.74,((#REF!/17200)*4.74)*DISTÂNCIA3[[#This Row],[KM PARA PAGAMENTO DOS FRETES]])</f>
        <v>#REF!</v>
      </c>
      <c r="J53" s="4">
        <f>DISTÂNCIA3[[#This Row],[Valor CTE]]/DISTÂNCIA3[[#This Row],[KM PARA PAGAMENTO DOS FRETES]]</f>
        <v>5.0220967741935478</v>
      </c>
      <c r="K53" s="6">
        <f t="shared" si="0"/>
        <v>904.03</v>
      </c>
      <c r="L53" s="6">
        <f>0.92*DISTÂNCIA3[[#This Row],[KM distancia]]*4.578</f>
        <v>652.82280000000003</v>
      </c>
      <c r="M53" s="6">
        <f t="shared" si="1"/>
        <v>1556.85</v>
      </c>
    </row>
    <row r="54" spans="1:13" hidden="1" x14ac:dyDescent="0.35">
      <c r="A54">
        <f>'DASE DADOS - DISTANCIA'!A54</f>
        <v>63561</v>
      </c>
      <c r="B54" t="str">
        <f>'DASE DADOS - DISTANCIA'!B54</f>
        <v>AIRTON FABIANO WIECZOREK</v>
      </c>
      <c r="C54" t="str">
        <f>'DASE DADOS - DISTANCIA'!C54</f>
        <v xml:space="preserve"> A2</v>
      </c>
      <c r="D54" t="str">
        <f>'DASE DADOS - DISTANCIA'!E54</f>
        <v>CAPANEMA</v>
      </c>
      <c r="E54" t="str">
        <f>'DASE DADOS - DISTANCIA'!I54</f>
        <v>PLUSVAL</v>
      </c>
      <c r="F54" s="7">
        <v>121.5</v>
      </c>
      <c r="G54">
        <f>'DASE DADOS - DISTANCIA'!J54</f>
        <v>243</v>
      </c>
      <c r="H54" s="2">
        <v>420</v>
      </c>
      <c r="I54" s="2" t="e">
        <f>IF(#REF!&lt;17200,DISTÂNCIA3[[#This Row],[KM PARA PAGAMENTO DOS FRETES]]*4.74,((#REF!/17200)*4.74)*DISTÂNCIA3[[#This Row],[KM PARA PAGAMENTO DOS FRETES]])</f>
        <v>#REF!</v>
      </c>
      <c r="J54" s="4">
        <f>DISTÂNCIA3[[#This Row],[Valor CTE]]/DISTÂNCIA3[[#This Row],[KM PARA PAGAMENTO DOS FRETES]]</f>
        <v>5.1950617283950624</v>
      </c>
      <c r="K54" s="6">
        <f t="shared" si="0"/>
        <v>750.67</v>
      </c>
      <c r="L54" s="6">
        <f>0.92*DISTÂNCIA3[[#This Row],[KM distancia]]*4.578</f>
        <v>511.72884000000005</v>
      </c>
      <c r="M54" s="6">
        <f t="shared" si="1"/>
        <v>1262.4000000000001</v>
      </c>
    </row>
    <row r="55" spans="1:13" hidden="1" x14ac:dyDescent="0.35">
      <c r="A55">
        <f>'DASE DADOS - DISTANCIA'!A55</f>
        <v>29442</v>
      </c>
      <c r="B55" t="str">
        <f>'DASE DADOS - DISTANCIA'!B55</f>
        <v>VILMAR FRANCISCO DAL BO JUNIOR</v>
      </c>
      <c r="C55" t="str">
        <f>'DASE DADOS - DISTANCIA'!C55</f>
        <v>A10</v>
      </c>
      <c r="D55" t="str">
        <f>'DASE DADOS - DISTANCIA'!E55</f>
        <v>PRANCHITA</v>
      </c>
      <c r="E55" t="str">
        <f>'DASE DADOS - DISTANCIA'!I55</f>
        <v>PLUSVAL</v>
      </c>
      <c r="F55" s="7">
        <v>155</v>
      </c>
      <c r="G55">
        <f>'DASE DADOS - DISTANCIA'!J55</f>
        <v>310</v>
      </c>
      <c r="H55" s="2">
        <v>420</v>
      </c>
      <c r="I55" s="2" t="e">
        <f>IF(#REF!&lt;17200,DISTÂNCIA3[[#This Row],[KM PARA PAGAMENTO DOS FRETES]]*4.74,((#REF!/17200)*4.74)*DISTÂNCIA3[[#This Row],[KM PARA PAGAMENTO DOS FRETES]])</f>
        <v>#REF!</v>
      </c>
      <c r="J55" s="4">
        <f>DISTÂNCIA3[[#This Row],[Valor CTE]]/DISTÂNCIA3[[#This Row],[KM PARA PAGAMENTO DOS FRETES]]</f>
        <v>5.0220967741935478</v>
      </c>
      <c r="K55" s="6">
        <f t="shared" si="0"/>
        <v>904.03</v>
      </c>
      <c r="L55" s="6">
        <f>0.92*DISTÂNCIA3[[#This Row],[KM distancia]]*4.578</f>
        <v>652.82280000000003</v>
      </c>
      <c r="M55" s="6">
        <f t="shared" si="1"/>
        <v>1556.85</v>
      </c>
    </row>
    <row r="56" spans="1:13" hidden="1" x14ac:dyDescent="0.35">
      <c r="A56">
        <f>'DASE DADOS - DISTANCIA'!A56</f>
        <v>475440</v>
      </c>
      <c r="B56" t="str">
        <f>'DASE DADOS - DISTANCIA'!B56</f>
        <v>ALCEU JOAO SAUSEN</v>
      </c>
      <c r="C56" t="str">
        <f>'DASE DADOS - DISTANCIA'!C56</f>
        <v xml:space="preserve"> A2</v>
      </c>
      <c r="D56" t="str">
        <f>'DASE DADOS - DISTANCIA'!E56</f>
        <v>QUATRO PONTES</v>
      </c>
      <c r="E56" t="str">
        <f>'DASE DADOS - DISTANCIA'!I56</f>
        <v>PLUMA</v>
      </c>
      <c r="F56" s="7">
        <v>92</v>
      </c>
      <c r="G56">
        <f>'DASE DADOS - DISTANCIA'!J56</f>
        <v>184</v>
      </c>
      <c r="H56" s="2">
        <v>420</v>
      </c>
      <c r="I56" s="2" t="e">
        <f>IF(#REF!&lt;17200,DISTÂNCIA3[[#This Row],[KM PARA PAGAMENTO DOS FRETES]]*4.74,((#REF!/17200)*4.74)*DISTÂNCIA3[[#This Row],[KM PARA PAGAMENTO DOS FRETES]])</f>
        <v>#REF!</v>
      </c>
      <c r="J56" s="4">
        <f>DISTÂNCIA3[[#This Row],[Valor CTE]]/DISTÂNCIA3[[#This Row],[KM PARA PAGAMENTO DOS FRETES]]</f>
        <v>5.4516304347826088</v>
      </c>
      <c r="K56" s="6">
        <f t="shared" si="0"/>
        <v>615.62</v>
      </c>
      <c r="L56" s="6">
        <f>0.92*DISTÂNCIA3[[#This Row],[KM distancia]]*4.578</f>
        <v>387.48192</v>
      </c>
      <c r="M56" s="6">
        <f t="shared" si="1"/>
        <v>1003.1</v>
      </c>
    </row>
    <row r="57" spans="1:13" hidden="1" x14ac:dyDescent="0.35">
      <c r="A57">
        <f>'DASE DADOS - DISTANCIA'!A57</f>
        <v>29442</v>
      </c>
      <c r="B57" t="str">
        <f>'DASE DADOS - DISTANCIA'!B57</f>
        <v>VILMAR FRANCISCO DAL BO JUNIOR</v>
      </c>
      <c r="C57" t="str">
        <f>'DASE DADOS - DISTANCIA'!C57</f>
        <v xml:space="preserve"> A9</v>
      </c>
      <c r="D57" t="str">
        <f>'DASE DADOS - DISTANCIA'!E57</f>
        <v>PRANCHITA</v>
      </c>
      <c r="E57" t="str">
        <f>'DASE DADOS - DISTANCIA'!I57</f>
        <v>PLUSVAL</v>
      </c>
      <c r="F57" s="7">
        <v>155</v>
      </c>
      <c r="G57">
        <f>'DASE DADOS - DISTANCIA'!J57</f>
        <v>310</v>
      </c>
      <c r="H57" s="2">
        <v>420</v>
      </c>
      <c r="I57" s="2" t="e">
        <f>IF(#REF!&lt;17200,DISTÂNCIA3[[#This Row],[KM PARA PAGAMENTO DOS FRETES]]*4.74,((#REF!/17200)*4.74)*DISTÂNCIA3[[#This Row],[KM PARA PAGAMENTO DOS FRETES]])</f>
        <v>#REF!</v>
      </c>
      <c r="J57" s="4">
        <f>DISTÂNCIA3[[#This Row],[Valor CTE]]/DISTÂNCIA3[[#This Row],[KM PARA PAGAMENTO DOS FRETES]]</f>
        <v>5.0220967741935478</v>
      </c>
      <c r="K57" s="6">
        <f t="shared" si="0"/>
        <v>904.03</v>
      </c>
      <c r="L57" s="6">
        <f>0.92*DISTÂNCIA3[[#This Row],[KM distancia]]*4.578</f>
        <v>652.82280000000003</v>
      </c>
      <c r="M57" s="6">
        <f t="shared" si="1"/>
        <v>1556.85</v>
      </c>
    </row>
    <row r="58" spans="1:13" hidden="1" x14ac:dyDescent="0.35">
      <c r="A58">
        <f>'DASE DADOS - DISTANCIA'!A58</f>
        <v>475440</v>
      </c>
      <c r="B58" t="str">
        <f>'DASE DADOS - DISTANCIA'!B58</f>
        <v>ALCEU JOAO SAUSEN</v>
      </c>
      <c r="C58" t="str">
        <f>'DASE DADOS - DISTANCIA'!C58</f>
        <v xml:space="preserve"> A1</v>
      </c>
      <c r="D58" t="str">
        <f>'DASE DADOS - DISTANCIA'!E58</f>
        <v>QUATRO PONTES</v>
      </c>
      <c r="E58" t="str">
        <f>'DASE DADOS - DISTANCIA'!I58</f>
        <v>PLUMA</v>
      </c>
      <c r="F58" s="7">
        <v>92</v>
      </c>
      <c r="G58">
        <f>'DASE DADOS - DISTANCIA'!J58</f>
        <v>184</v>
      </c>
      <c r="H58" s="2">
        <v>420</v>
      </c>
      <c r="I58" s="2" t="e">
        <f>IF(#REF!&lt;17200,DISTÂNCIA3[[#This Row],[KM PARA PAGAMENTO DOS FRETES]]*4.74,((#REF!/17200)*4.74)*DISTÂNCIA3[[#This Row],[KM PARA PAGAMENTO DOS FRETES]])</f>
        <v>#REF!</v>
      </c>
      <c r="J58" s="4">
        <f>DISTÂNCIA3[[#This Row],[Valor CTE]]/DISTÂNCIA3[[#This Row],[KM PARA PAGAMENTO DOS FRETES]]</f>
        <v>5.4516304347826088</v>
      </c>
      <c r="K58" s="6">
        <f t="shared" si="0"/>
        <v>615.62</v>
      </c>
      <c r="L58" s="6">
        <f>0.92*DISTÂNCIA3[[#This Row],[KM distancia]]*4.578</f>
        <v>387.48192</v>
      </c>
      <c r="M58" s="6">
        <f t="shared" si="1"/>
        <v>1003.1</v>
      </c>
    </row>
    <row r="59" spans="1:13" hidden="1" x14ac:dyDescent="0.35">
      <c r="A59">
        <f>'DASE DADOS - DISTANCIA'!A59</f>
        <v>29905</v>
      </c>
      <c r="B59" t="str">
        <f>'DASE DADOS - DISTANCIA'!B59</f>
        <v>MARCO AURELIO TEOLOGIDES MARCON</v>
      </c>
      <c r="C59" t="str">
        <f>'DASE DADOS - DISTANCIA'!C59</f>
        <v xml:space="preserve"> A1</v>
      </c>
      <c r="D59" t="str">
        <f>'DASE DADOS - DISTANCIA'!E59</f>
        <v>PRANCHITA</v>
      </c>
      <c r="E59" t="str">
        <f>'DASE DADOS - DISTANCIA'!I59</f>
        <v>PLUSVAL</v>
      </c>
      <c r="F59" s="7">
        <v>156</v>
      </c>
      <c r="G59">
        <f>'DASE DADOS - DISTANCIA'!J59</f>
        <v>312</v>
      </c>
      <c r="H59" s="2">
        <v>420</v>
      </c>
      <c r="I59" s="2" t="e">
        <f>IF(#REF!&lt;17200,DISTÂNCIA3[[#This Row],[KM PARA PAGAMENTO DOS FRETES]]*4.74,((#REF!/17200)*4.74)*DISTÂNCIA3[[#This Row],[KM PARA PAGAMENTO DOS FRETES]])</f>
        <v>#REF!</v>
      </c>
      <c r="J59" s="4">
        <f>DISTÂNCIA3[[#This Row],[Valor CTE]]/DISTÂNCIA3[[#This Row],[KM PARA PAGAMENTO DOS FRETES]]</f>
        <v>5.0180769230769231</v>
      </c>
      <c r="K59" s="6">
        <f t="shared" si="0"/>
        <v>908.61</v>
      </c>
      <c r="L59" s="6">
        <f>0.92*DISTÂNCIA3[[#This Row],[KM distancia]]*4.578</f>
        <v>657.03456000000006</v>
      </c>
      <c r="M59" s="6">
        <f t="shared" si="1"/>
        <v>1565.64</v>
      </c>
    </row>
    <row r="60" spans="1:13" hidden="1" x14ac:dyDescent="0.35">
      <c r="A60">
        <f>'DASE DADOS - DISTANCIA'!A60</f>
        <v>0</v>
      </c>
      <c r="B60" t="str">
        <f>'DASE DADOS - DISTANCIA'!B60</f>
        <v>ALBANY JESSE SCHAIDT</v>
      </c>
      <c r="C60" t="str">
        <f>'DASE DADOS - DISTANCIA'!C60</f>
        <v xml:space="preserve"> A1</v>
      </c>
      <c r="D60" t="str">
        <f>'DASE DADOS - DISTANCIA'!E60</f>
        <v>LINDOESTE</v>
      </c>
      <c r="E60" t="str">
        <f>'DASE DADOS - DISTANCIA'!I60</f>
        <v>PLUMA</v>
      </c>
      <c r="F60" s="7">
        <v>36</v>
      </c>
      <c r="G60">
        <f>'DASE DADOS - DISTANCIA'!J60</f>
        <v>72</v>
      </c>
      <c r="H60" s="2">
        <v>420</v>
      </c>
      <c r="I60" s="2" t="e">
        <f>IF(#REF!&lt;17200,DISTÂNCIA3[[#This Row],[KM PARA PAGAMENTO DOS FRETES]]*4.74,((#REF!/17200)*4.74)*DISTÂNCIA3[[#This Row],[KM PARA PAGAMENTO DOS FRETES]])</f>
        <v>#REF!</v>
      </c>
      <c r="J60" s="4">
        <f>DISTÂNCIA3[[#This Row],[Valor CTE]]/DISTÂNCIA3[[#This Row],[KM PARA PAGAMENTO DOS FRETES]]</f>
        <v>7.0954166666666669</v>
      </c>
      <c r="K60" s="6">
        <f t="shared" si="0"/>
        <v>359.25</v>
      </c>
      <c r="L60" s="6">
        <f>0.92*DISTÂNCIA3[[#This Row],[KM distancia]]*4.578</f>
        <v>151.62336000000002</v>
      </c>
      <c r="M60" s="6">
        <f t="shared" si="1"/>
        <v>510.87</v>
      </c>
    </row>
    <row r="61" spans="1:13" hidden="1" x14ac:dyDescent="0.35">
      <c r="A61">
        <f>'DASE DADOS - DISTANCIA'!A61</f>
        <v>29905</v>
      </c>
      <c r="B61" t="str">
        <f>'DASE DADOS - DISTANCIA'!B61</f>
        <v>MARCO AURELIO TEOLOGIDES MARCON</v>
      </c>
      <c r="C61" t="str">
        <f>'DASE DADOS - DISTANCIA'!C61</f>
        <v xml:space="preserve"> A2</v>
      </c>
      <c r="D61" t="str">
        <f>'DASE DADOS - DISTANCIA'!E61</f>
        <v>PRANCHITA</v>
      </c>
      <c r="E61" t="str">
        <f>'DASE DADOS - DISTANCIA'!I61</f>
        <v>PLUSVAL</v>
      </c>
      <c r="F61" s="7">
        <v>156</v>
      </c>
      <c r="G61">
        <f>'DASE DADOS - DISTANCIA'!J61</f>
        <v>312</v>
      </c>
      <c r="H61" s="2">
        <v>420</v>
      </c>
      <c r="I61" s="2" t="e">
        <f>IF(#REF!&lt;17200,DISTÂNCIA3[[#This Row],[KM PARA PAGAMENTO DOS FRETES]]*4.74,((#REF!/17200)*4.74)*DISTÂNCIA3[[#This Row],[KM PARA PAGAMENTO DOS FRETES]])</f>
        <v>#REF!</v>
      </c>
      <c r="J61" s="4">
        <f>DISTÂNCIA3[[#This Row],[Valor CTE]]/DISTÂNCIA3[[#This Row],[KM PARA PAGAMENTO DOS FRETES]]</f>
        <v>5.0180769230769231</v>
      </c>
      <c r="K61" s="6">
        <f t="shared" si="0"/>
        <v>908.61</v>
      </c>
      <c r="L61" s="6">
        <f>0.92*DISTÂNCIA3[[#This Row],[KM distancia]]*4.578</f>
        <v>657.03456000000006</v>
      </c>
      <c r="M61" s="6">
        <f t="shared" si="1"/>
        <v>1565.64</v>
      </c>
    </row>
    <row r="62" spans="1:13" hidden="1" x14ac:dyDescent="0.35">
      <c r="A62">
        <f>'DASE DADOS - DISTANCIA'!A62</f>
        <v>0</v>
      </c>
      <c r="B62" t="str">
        <f>'DASE DADOS - DISTANCIA'!B62</f>
        <v>ALBANY JESSE SCHAIDT</v>
      </c>
      <c r="C62" t="str">
        <f>'DASE DADOS - DISTANCIA'!C62</f>
        <v xml:space="preserve"> A2</v>
      </c>
      <c r="D62" t="str">
        <f>'DASE DADOS - DISTANCIA'!E62</f>
        <v>LINDOESTE</v>
      </c>
      <c r="E62" t="str">
        <f>'DASE DADOS - DISTANCIA'!I62</f>
        <v>PLUMA</v>
      </c>
      <c r="F62" s="7">
        <v>36</v>
      </c>
      <c r="G62">
        <f>'DASE DADOS - DISTANCIA'!J62</f>
        <v>72</v>
      </c>
      <c r="H62" s="2">
        <v>420</v>
      </c>
      <c r="I62" s="2" t="e">
        <f>IF(#REF!&lt;17200,DISTÂNCIA3[[#This Row],[KM PARA PAGAMENTO DOS FRETES]]*4.74,((#REF!/17200)*4.74)*DISTÂNCIA3[[#This Row],[KM PARA PAGAMENTO DOS FRETES]])</f>
        <v>#REF!</v>
      </c>
      <c r="J62" s="4">
        <f>DISTÂNCIA3[[#This Row],[Valor CTE]]/DISTÂNCIA3[[#This Row],[KM PARA PAGAMENTO DOS FRETES]]</f>
        <v>7.0954166666666669</v>
      </c>
      <c r="K62" s="6">
        <f t="shared" si="0"/>
        <v>359.25</v>
      </c>
      <c r="L62" s="6">
        <f>0.92*DISTÂNCIA3[[#This Row],[KM distancia]]*4.578</f>
        <v>151.62336000000002</v>
      </c>
      <c r="M62" s="6">
        <f t="shared" si="1"/>
        <v>510.87</v>
      </c>
    </row>
    <row r="63" spans="1:13" hidden="1" x14ac:dyDescent="0.35">
      <c r="A63">
        <f>'DASE DADOS - DISTANCIA'!A63</f>
        <v>29905</v>
      </c>
      <c r="B63" t="str">
        <f>'DASE DADOS - DISTANCIA'!B63</f>
        <v>MARCO AURELIO TEOLOGIDES MARCON</v>
      </c>
      <c r="C63" t="str">
        <f>'DASE DADOS - DISTANCIA'!C63</f>
        <v xml:space="preserve"> A3</v>
      </c>
      <c r="D63" t="str">
        <f>'DASE DADOS - DISTANCIA'!E63</f>
        <v>PRANCHITA</v>
      </c>
      <c r="E63" t="str">
        <f>'DASE DADOS - DISTANCIA'!I63</f>
        <v>PLUSVAL</v>
      </c>
      <c r="F63" s="7">
        <v>156</v>
      </c>
      <c r="G63">
        <f>'DASE DADOS - DISTANCIA'!J63</f>
        <v>312</v>
      </c>
      <c r="H63" s="2">
        <v>420</v>
      </c>
      <c r="I63" s="2" t="e">
        <f>IF(#REF!&lt;17200,DISTÂNCIA3[[#This Row],[KM PARA PAGAMENTO DOS FRETES]]*4.74,((#REF!/17200)*4.74)*DISTÂNCIA3[[#This Row],[KM PARA PAGAMENTO DOS FRETES]])</f>
        <v>#REF!</v>
      </c>
      <c r="J63" s="4">
        <f>DISTÂNCIA3[[#This Row],[Valor CTE]]/DISTÂNCIA3[[#This Row],[KM PARA PAGAMENTO DOS FRETES]]</f>
        <v>5.0180769230769231</v>
      </c>
      <c r="K63" s="6">
        <f t="shared" si="0"/>
        <v>908.61</v>
      </c>
      <c r="L63" s="6">
        <f>0.92*DISTÂNCIA3[[#This Row],[KM distancia]]*4.578</f>
        <v>657.03456000000006</v>
      </c>
      <c r="M63" s="6">
        <f t="shared" si="1"/>
        <v>1565.64</v>
      </c>
    </row>
    <row r="64" spans="1:13" hidden="1" x14ac:dyDescent="0.35">
      <c r="A64">
        <f>'DASE DADOS - DISTANCIA'!A64</f>
        <v>5335906</v>
      </c>
      <c r="B64" t="str">
        <f>'DASE DADOS - DISTANCIA'!B64</f>
        <v>ALCIDES BRAGAGNOLLO</v>
      </c>
      <c r="C64" t="str">
        <f>'DASE DADOS - DISTANCIA'!C64</f>
        <v xml:space="preserve"> A1</v>
      </c>
      <c r="D64" t="str">
        <f>'DASE DADOS - DISTANCIA'!E64</f>
        <v>TOLEDO</v>
      </c>
      <c r="E64" t="str">
        <f>'DASE DADOS - DISTANCIA'!I64</f>
        <v>PLUMA</v>
      </c>
      <c r="F64" s="7">
        <v>75.5</v>
      </c>
      <c r="G64">
        <f>'DASE DADOS - DISTANCIA'!J64</f>
        <v>151</v>
      </c>
      <c r="H64" s="2">
        <v>420</v>
      </c>
      <c r="I64" s="2" t="e">
        <f>IF(#REF!&lt;17200,DISTÂNCIA3[[#This Row],[KM PARA PAGAMENTO DOS FRETES]]*4.74,((#REF!/17200)*4.74)*DISTÂNCIA3[[#This Row],[KM PARA PAGAMENTO DOS FRETES]])</f>
        <v>#REF!</v>
      </c>
      <c r="J64" s="4">
        <f>DISTÂNCIA3[[#This Row],[Valor CTE]]/DISTÂNCIA3[[#This Row],[KM PARA PAGAMENTO DOS FRETES]]</f>
        <v>5.6825827814569543</v>
      </c>
      <c r="K64" s="6">
        <f t="shared" si="0"/>
        <v>540.08000000000004</v>
      </c>
      <c r="L64" s="6">
        <f>0.92*DISTÂNCIA3[[#This Row],[KM distancia]]*4.578</f>
        <v>317.98788000000008</v>
      </c>
      <c r="M64" s="6">
        <f t="shared" si="1"/>
        <v>858.07</v>
      </c>
    </row>
    <row r="65" spans="1:13" hidden="1" x14ac:dyDescent="0.35">
      <c r="A65">
        <f>'DASE DADOS - DISTANCIA'!A65</f>
        <v>29905</v>
      </c>
      <c r="B65" t="str">
        <f>'DASE DADOS - DISTANCIA'!B65</f>
        <v>MARCO AURELIO TEOLOGIDES MARCON</v>
      </c>
      <c r="C65" t="str">
        <f>'DASE DADOS - DISTANCIA'!C65</f>
        <v xml:space="preserve"> A4</v>
      </c>
      <c r="D65" t="str">
        <f>'DASE DADOS - DISTANCIA'!E65</f>
        <v>PRANCHITA</v>
      </c>
      <c r="E65" t="str">
        <f>'DASE DADOS - DISTANCIA'!I65</f>
        <v>PLUSVAL</v>
      </c>
      <c r="F65" s="7">
        <v>156</v>
      </c>
      <c r="G65">
        <f>'DASE DADOS - DISTANCIA'!J65</f>
        <v>312</v>
      </c>
      <c r="H65" s="2">
        <v>420</v>
      </c>
      <c r="I65" s="2" t="e">
        <f>IF(#REF!&lt;17200,DISTÂNCIA3[[#This Row],[KM PARA PAGAMENTO DOS FRETES]]*4.74,((#REF!/17200)*4.74)*DISTÂNCIA3[[#This Row],[KM PARA PAGAMENTO DOS FRETES]])</f>
        <v>#REF!</v>
      </c>
      <c r="J65" s="4">
        <f>DISTÂNCIA3[[#This Row],[Valor CTE]]/DISTÂNCIA3[[#This Row],[KM PARA PAGAMENTO DOS FRETES]]</f>
        <v>5.0180769230769231</v>
      </c>
      <c r="K65" s="6">
        <f t="shared" si="0"/>
        <v>908.61</v>
      </c>
      <c r="L65" s="6">
        <f>0.92*DISTÂNCIA3[[#This Row],[KM distancia]]*4.578</f>
        <v>657.03456000000006</v>
      </c>
      <c r="M65" s="6">
        <f t="shared" si="1"/>
        <v>1565.64</v>
      </c>
    </row>
    <row r="66" spans="1:13" hidden="1" x14ac:dyDescent="0.35">
      <c r="A66">
        <f>'DASE DADOS - DISTANCIA'!A66</f>
        <v>29953</v>
      </c>
      <c r="B66" t="str">
        <f>'DASE DADOS - DISTANCIA'!B66</f>
        <v>EDER THEODORO</v>
      </c>
      <c r="C66" t="str">
        <f>'DASE DADOS - DISTANCIA'!C66</f>
        <v xml:space="preserve"> A2</v>
      </c>
      <c r="D66" t="str">
        <f>'DASE DADOS - DISTANCIA'!E66</f>
        <v>PLANALTO</v>
      </c>
      <c r="E66" t="str">
        <f>'DASE DADOS - DISTANCIA'!I66</f>
        <v>PLUSVAL</v>
      </c>
      <c r="F66" s="7">
        <v>118.5</v>
      </c>
      <c r="G66">
        <f>'DASE DADOS - DISTANCIA'!J66</f>
        <v>237</v>
      </c>
      <c r="H66" s="2">
        <v>420</v>
      </c>
      <c r="I66" s="2" t="e">
        <f>IF(#REF!&lt;17200,DISTÂNCIA3[[#This Row],[KM PARA PAGAMENTO DOS FRETES]]*4.74,((#REF!/17200)*4.74)*DISTÂNCIA3[[#This Row],[KM PARA PAGAMENTO DOS FRETES]])</f>
        <v>#REF!</v>
      </c>
      <c r="J66" s="4">
        <f>DISTÂNCIA3[[#This Row],[Valor CTE]]/DISTÂNCIA3[[#This Row],[KM PARA PAGAMENTO DOS FRETES]]</f>
        <v>5.2153164556962022</v>
      </c>
      <c r="K66" s="6">
        <f t="shared" ref="K66:K129" si="2">ROUND((F66*4.578)+194.44,2)</f>
        <v>736.93</v>
      </c>
      <c r="L66" s="6">
        <f>0.92*DISTÂNCIA3[[#This Row],[KM distancia]]*4.578</f>
        <v>499.09356000000008</v>
      </c>
      <c r="M66" s="6">
        <f t="shared" si="1"/>
        <v>1236.03</v>
      </c>
    </row>
    <row r="67" spans="1:13" hidden="1" x14ac:dyDescent="0.35">
      <c r="A67">
        <f>'DASE DADOS - DISTANCIA'!A67</f>
        <v>5393000</v>
      </c>
      <c r="B67" t="str">
        <f>'DASE DADOS - DISTANCIA'!B67</f>
        <v>ALTAMIR GOMES</v>
      </c>
      <c r="C67" t="str">
        <f>'DASE DADOS - DISTANCIA'!C67</f>
        <v xml:space="preserve"> A2</v>
      </c>
      <c r="D67" t="str">
        <f>'DASE DADOS - DISTANCIA'!E67</f>
        <v>CASCAVEL</v>
      </c>
      <c r="E67" t="str">
        <f>'DASE DADOS - DISTANCIA'!I67</f>
        <v>PLUMA</v>
      </c>
      <c r="F67" s="7">
        <v>19.5</v>
      </c>
      <c r="G67">
        <f>'DASE DADOS - DISTANCIA'!J67</f>
        <v>39</v>
      </c>
      <c r="H67" s="2">
        <v>420</v>
      </c>
      <c r="I67" s="2" t="e">
        <f>IF(#REF!&lt;17200,DISTÂNCIA3[[#This Row],[KM PARA PAGAMENTO DOS FRETES]]*4.74,((#REF!/17200)*4.74)*DISTÂNCIA3[[#This Row],[KM PARA PAGAMENTO DOS FRETES]])</f>
        <v>#REF!</v>
      </c>
      <c r="J67" s="4">
        <f>DISTÂNCIA3[[#This Row],[Valor CTE]]/DISTÂNCIA3[[#This Row],[KM PARA PAGAMENTO DOS FRETES]]</f>
        <v>9.3805128205128199</v>
      </c>
      <c r="K67" s="6">
        <f t="shared" si="2"/>
        <v>283.70999999999998</v>
      </c>
      <c r="L67" s="6">
        <f>0.92*DISTÂNCIA3[[#This Row],[KM distancia]]*4.578</f>
        <v>82.129320000000007</v>
      </c>
      <c r="M67" s="6">
        <f t="shared" ref="M67:M130" si="3">ROUND(((F67*4.578)+194.44)+(0.92*F67*4.578),2)</f>
        <v>365.84</v>
      </c>
    </row>
    <row r="68" spans="1:13" hidden="1" x14ac:dyDescent="0.35">
      <c r="A68">
        <f>'DASE DADOS - DISTANCIA'!A68</f>
        <v>30621</v>
      </c>
      <c r="B68" t="str">
        <f>'DASE DADOS - DISTANCIA'!B68</f>
        <v>CLEIDSON ALBERTO PILATTI</v>
      </c>
      <c r="C68" t="str">
        <f>'DASE DADOS - DISTANCIA'!C68</f>
        <v xml:space="preserve"> A2</v>
      </c>
      <c r="D68" t="str">
        <f>'DASE DADOS - DISTANCIA'!E68</f>
        <v>PÉROLA DO OESTE</v>
      </c>
      <c r="E68" t="str">
        <f>'DASE DADOS - DISTANCIA'!I68</f>
        <v>PLUSVAL</v>
      </c>
      <c r="F68" s="7">
        <v>141</v>
      </c>
      <c r="G68">
        <f>'DASE DADOS - DISTANCIA'!J68</f>
        <v>282</v>
      </c>
      <c r="H68" s="2">
        <v>420</v>
      </c>
      <c r="I68" s="2" t="e">
        <f>IF(#REF!&lt;17200,DISTÂNCIA3[[#This Row],[KM PARA PAGAMENTO DOS FRETES]]*4.74,((#REF!/17200)*4.74)*DISTÂNCIA3[[#This Row],[KM PARA PAGAMENTO DOS FRETES]])</f>
        <v>#REF!</v>
      </c>
      <c r="J68" s="4">
        <f>DISTÂNCIA3[[#This Row],[Valor CTE]]/DISTÂNCIA3[[#This Row],[KM PARA PAGAMENTO DOS FRETES]]</f>
        <v>5.0843971631205669</v>
      </c>
      <c r="K68" s="6">
        <f t="shared" si="2"/>
        <v>839.94</v>
      </c>
      <c r="L68" s="6">
        <f>0.92*DISTÂNCIA3[[#This Row],[KM distancia]]*4.578</f>
        <v>593.85816</v>
      </c>
      <c r="M68" s="6">
        <f t="shared" si="3"/>
        <v>1433.8</v>
      </c>
    </row>
    <row r="69" spans="1:13" hidden="1" x14ac:dyDescent="0.35">
      <c r="A69">
        <f>'DASE DADOS - DISTANCIA'!A69</f>
        <v>5393000</v>
      </c>
      <c r="B69" t="str">
        <f>'DASE DADOS - DISTANCIA'!B69</f>
        <v>ALTAMIR GOMES</v>
      </c>
      <c r="C69" t="str">
        <f>'DASE DADOS - DISTANCIA'!C69</f>
        <v xml:space="preserve"> A1</v>
      </c>
      <c r="D69" t="str">
        <f>'DASE DADOS - DISTANCIA'!E69</f>
        <v>CASCAVEL</v>
      </c>
      <c r="E69" t="str">
        <f>'DASE DADOS - DISTANCIA'!I69</f>
        <v>PLUMA</v>
      </c>
      <c r="F69" s="7">
        <v>19.5</v>
      </c>
      <c r="G69">
        <f>'DASE DADOS - DISTANCIA'!J69</f>
        <v>39</v>
      </c>
      <c r="H69" s="2">
        <v>420</v>
      </c>
      <c r="I69" s="2" t="e">
        <f>IF(#REF!&lt;17200,DISTÂNCIA3[[#This Row],[KM PARA PAGAMENTO DOS FRETES]]*4.74,((#REF!/17200)*4.74)*DISTÂNCIA3[[#This Row],[KM PARA PAGAMENTO DOS FRETES]])</f>
        <v>#REF!</v>
      </c>
      <c r="J69" s="4">
        <f>DISTÂNCIA3[[#This Row],[Valor CTE]]/DISTÂNCIA3[[#This Row],[KM PARA PAGAMENTO DOS FRETES]]</f>
        <v>9.3805128205128199</v>
      </c>
      <c r="K69" s="6">
        <f t="shared" si="2"/>
        <v>283.70999999999998</v>
      </c>
      <c r="L69" s="6">
        <f>0.92*DISTÂNCIA3[[#This Row],[KM distancia]]*4.578</f>
        <v>82.129320000000007</v>
      </c>
      <c r="M69" s="6">
        <f t="shared" si="3"/>
        <v>365.84</v>
      </c>
    </row>
    <row r="70" spans="1:13" hidden="1" x14ac:dyDescent="0.35">
      <c r="A70">
        <f>'DASE DADOS - DISTANCIA'!A70</f>
        <v>30621</v>
      </c>
      <c r="B70" t="str">
        <f>'DASE DADOS - DISTANCIA'!B70</f>
        <v>CLEIDSON ALBERTO PILATTI</v>
      </c>
      <c r="C70" t="str">
        <f>'DASE DADOS - DISTANCIA'!C70</f>
        <v xml:space="preserve"> A3</v>
      </c>
      <c r="D70" t="str">
        <f>'DASE DADOS - DISTANCIA'!E70</f>
        <v>PÉROLA DO OESTE</v>
      </c>
      <c r="E70" t="str">
        <f>'DASE DADOS - DISTANCIA'!I70</f>
        <v>PLUSVAL</v>
      </c>
      <c r="F70" s="7">
        <v>141</v>
      </c>
      <c r="G70">
        <f>'DASE DADOS - DISTANCIA'!J70</f>
        <v>282</v>
      </c>
      <c r="H70" s="2">
        <v>420</v>
      </c>
      <c r="I70" s="2" t="e">
        <f>IF(#REF!&lt;17200,DISTÂNCIA3[[#This Row],[KM PARA PAGAMENTO DOS FRETES]]*4.74,((#REF!/17200)*4.74)*DISTÂNCIA3[[#This Row],[KM PARA PAGAMENTO DOS FRETES]])</f>
        <v>#REF!</v>
      </c>
      <c r="J70" s="4">
        <f>DISTÂNCIA3[[#This Row],[Valor CTE]]/DISTÂNCIA3[[#This Row],[KM PARA PAGAMENTO DOS FRETES]]</f>
        <v>5.0843971631205669</v>
      </c>
      <c r="K70" s="6">
        <f t="shared" si="2"/>
        <v>839.94</v>
      </c>
      <c r="L70" s="6">
        <f>0.92*DISTÂNCIA3[[#This Row],[KM distancia]]*4.578</f>
        <v>593.85816</v>
      </c>
      <c r="M70" s="6">
        <f t="shared" si="3"/>
        <v>1433.8</v>
      </c>
    </row>
    <row r="71" spans="1:13" hidden="1" x14ac:dyDescent="0.35">
      <c r="A71">
        <f>'DASE DADOS - DISTANCIA'!A71</f>
        <v>30071</v>
      </c>
      <c r="B71" t="str">
        <f>'DASE DADOS - DISTANCIA'!B71</f>
        <v>ALVARO LAURI ROLL</v>
      </c>
      <c r="C71" t="str">
        <f>'DASE DADOS - DISTANCIA'!C71</f>
        <v xml:space="preserve"> A2</v>
      </c>
      <c r="D71" t="str">
        <f>'DASE DADOS - DISTANCIA'!E71</f>
        <v>BELA VISTA DA CAROBA</v>
      </c>
      <c r="E71" t="str">
        <f>'DASE DADOS - DISTANCIA'!I71</f>
        <v>PLUSVAL</v>
      </c>
      <c r="F71" s="7">
        <v>134.5</v>
      </c>
      <c r="G71">
        <f>'DASE DADOS - DISTANCIA'!J71</f>
        <v>269</v>
      </c>
      <c r="H71" s="2">
        <v>420</v>
      </c>
      <c r="I71" s="2" t="e">
        <f>IF(#REF!&lt;17200,DISTÂNCIA3[[#This Row],[KM PARA PAGAMENTO DOS FRETES]]*4.74,((#REF!/17200)*4.74)*DISTÂNCIA3[[#This Row],[KM PARA PAGAMENTO DOS FRETES]])</f>
        <v>#REF!</v>
      </c>
      <c r="J71" s="4">
        <f>DISTÂNCIA3[[#This Row],[Valor CTE]]/DISTÂNCIA3[[#This Row],[KM PARA PAGAMENTO DOS FRETES]]</f>
        <v>5.1176951672862456</v>
      </c>
      <c r="K71" s="6">
        <f t="shared" si="2"/>
        <v>810.18</v>
      </c>
      <c r="L71" s="6">
        <f>0.92*DISTÂNCIA3[[#This Row],[KM distancia]]*4.578</f>
        <v>566.48172000000011</v>
      </c>
      <c r="M71" s="6">
        <f t="shared" si="3"/>
        <v>1376.66</v>
      </c>
    </row>
    <row r="72" spans="1:13" hidden="1" x14ac:dyDescent="0.35">
      <c r="A72">
        <f>'DASE DADOS - DISTANCIA'!A72</f>
        <v>30621</v>
      </c>
      <c r="B72" t="str">
        <f>'DASE DADOS - DISTANCIA'!B72</f>
        <v>CLEIDSON ALBERTO PILATTI</v>
      </c>
      <c r="C72" t="str">
        <f>'DASE DADOS - DISTANCIA'!C72</f>
        <v xml:space="preserve"> A4</v>
      </c>
      <c r="D72" t="str">
        <f>'DASE DADOS - DISTANCIA'!E72</f>
        <v>PRANCHITA</v>
      </c>
      <c r="E72" t="str">
        <f>'DASE DADOS - DISTANCIA'!I72</f>
        <v>PLUSVAL</v>
      </c>
      <c r="F72" s="7">
        <v>141</v>
      </c>
      <c r="G72">
        <f>'DASE DADOS - DISTANCIA'!J72</f>
        <v>282</v>
      </c>
      <c r="H72" s="2">
        <v>420</v>
      </c>
      <c r="I72" s="2" t="e">
        <f>IF(#REF!&lt;17200,DISTÂNCIA3[[#This Row],[KM PARA PAGAMENTO DOS FRETES]]*4.74,((#REF!/17200)*4.74)*DISTÂNCIA3[[#This Row],[KM PARA PAGAMENTO DOS FRETES]])</f>
        <v>#REF!</v>
      </c>
      <c r="J72" s="4">
        <f>DISTÂNCIA3[[#This Row],[Valor CTE]]/DISTÂNCIA3[[#This Row],[KM PARA PAGAMENTO DOS FRETES]]</f>
        <v>5.0843971631205669</v>
      </c>
      <c r="K72" s="6">
        <f t="shared" si="2"/>
        <v>839.94</v>
      </c>
      <c r="L72" s="6">
        <f>0.92*DISTÂNCIA3[[#This Row],[KM distancia]]*4.578</f>
        <v>593.85816</v>
      </c>
      <c r="M72" s="6">
        <f t="shared" si="3"/>
        <v>1433.8</v>
      </c>
    </row>
    <row r="73" spans="1:13" hidden="1" x14ac:dyDescent="0.35">
      <c r="A73">
        <f>'DASE DADOS - DISTANCIA'!A73</f>
        <v>30071</v>
      </c>
      <c r="B73" t="str">
        <f>'DASE DADOS - DISTANCIA'!B73</f>
        <v>ALVARO LAURI ROLL</v>
      </c>
      <c r="C73" t="str">
        <f>'DASE DADOS - DISTANCIA'!C73</f>
        <v xml:space="preserve"> A1</v>
      </c>
      <c r="D73" t="str">
        <f>'DASE DADOS - DISTANCIA'!E73</f>
        <v>BELA VISTA DA CAROBA</v>
      </c>
      <c r="E73" t="str">
        <f>'DASE DADOS - DISTANCIA'!I73</f>
        <v>PLUSVAL</v>
      </c>
      <c r="F73" s="7">
        <v>134.5</v>
      </c>
      <c r="G73">
        <f>'DASE DADOS - DISTANCIA'!J73</f>
        <v>269</v>
      </c>
      <c r="H73" s="2">
        <v>420</v>
      </c>
      <c r="I73" s="2" t="e">
        <f>IF(#REF!&lt;17200,DISTÂNCIA3[[#This Row],[KM PARA PAGAMENTO DOS FRETES]]*4.74,((#REF!/17200)*4.74)*DISTÂNCIA3[[#This Row],[KM PARA PAGAMENTO DOS FRETES]])</f>
        <v>#REF!</v>
      </c>
      <c r="J73" s="4">
        <f>DISTÂNCIA3[[#This Row],[Valor CTE]]/DISTÂNCIA3[[#This Row],[KM PARA PAGAMENTO DOS FRETES]]</f>
        <v>5.1176951672862456</v>
      </c>
      <c r="K73" s="6">
        <f t="shared" si="2"/>
        <v>810.18</v>
      </c>
      <c r="L73" s="6">
        <f>0.92*DISTÂNCIA3[[#This Row],[KM distancia]]*4.578</f>
        <v>566.48172000000011</v>
      </c>
      <c r="M73" s="6">
        <f t="shared" si="3"/>
        <v>1376.66</v>
      </c>
    </row>
    <row r="74" spans="1:13" hidden="1" x14ac:dyDescent="0.35">
      <c r="A74">
        <f>'DASE DADOS - DISTANCIA'!A74</f>
        <v>30621</v>
      </c>
      <c r="B74" t="str">
        <f>'DASE DADOS - DISTANCIA'!B74</f>
        <v>CLEIDSON ALBERTO PILATTI</v>
      </c>
      <c r="C74" t="str">
        <f>'DASE DADOS - DISTANCIA'!C74</f>
        <v xml:space="preserve"> A5</v>
      </c>
      <c r="D74" t="str">
        <f>'DASE DADOS - DISTANCIA'!E74</f>
        <v>PRANCHITA</v>
      </c>
      <c r="E74" t="str">
        <f>'DASE DADOS - DISTANCIA'!I74</f>
        <v>PLUSVAL</v>
      </c>
      <c r="F74" s="7">
        <v>141</v>
      </c>
      <c r="G74">
        <f>'DASE DADOS - DISTANCIA'!J74</f>
        <v>282</v>
      </c>
      <c r="H74" s="2">
        <v>420</v>
      </c>
      <c r="I74" s="2" t="e">
        <f>IF(#REF!&lt;17200,DISTÂNCIA3[[#This Row],[KM PARA PAGAMENTO DOS FRETES]]*4.74,((#REF!/17200)*4.74)*DISTÂNCIA3[[#This Row],[KM PARA PAGAMENTO DOS FRETES]])</f>
        <v>#REF!</v>
      </c>
      <c r="J74" s="4">
        <f>DISTÂNCIA3[[#This Row],[Valor CTE]]/DISTÂNCIA3[[#This Row],[KM PARA PAGAMENTO DOS FRETES]]</f>
        <v>5.0843971631205669</v>
      </c>
      <c r="K74" s="6">
        <f t="shared" si="2"/>
        <v>839.94</v>
      </c>
      <c r="L74" s="6">
        <f>0.92*DISTÂNCIA3[[#This Row],[KM distancia]]*4.578</f>
        <v>593.85816</v>
      </c>
      <c r="M74" s="6">
        <f t="shared" si="3"/>
        <v>1433.8</v>
      </c>
    </row>
    <row r="75" spans="1:13" hidden="1" x14ac:dyDescent="0.35">
      <c r="A75">
        <f>'DASE DADOS - DISTANCIA'!A75</f>
        <v>5301947</v>
      </c>
      <c r="B75" t="str">
        <f>'DASE DADOS - DISTANCIA'!B75</f>
        <v>ANA CRISTIANE DIEDRICHS DINIS</v>
      </c>
      <c r="C75" t="str">
        <f>'DASE DADOS - DISTANCIA'!C75</f>
        <v xml:space="preserve"> A1</v>
      </c>
      <c r="D75" t="str">
        <f>'DASE DADOS - DISTANCIA'!E75</f>
        <v>QUATRO PONTES</v>
      </c>
      <c r="E75" t="str">
        <f>'DASE DADOS - DISTANCIA'!I75</f>
        <v>PLUMA</v>
      </c>
      <c r="F75" s="7">
        <v>94.5</v>
      </c>
      <c r="G75">
        <f>'DASE DADOS - DISTANCIA'!J75</f>
        <v>189</v>
      </c>
      <c r="H75" s="2">
        <v>420</v>
      </c>
      <c r="I75" s="2" t="e">
        <f>IF(#REF!&lt;17200,DISTÂNCIA3[[#This Row],[KM PARA PAGAMENTO DOS FRETES]]*4.74,((#REF!/17200)*4.74)*DISTÂNCIA3[[#This Row],[KM PARA PAGAMENTO DOS FRETES]])</f>
        <v>#REF!</v>
      </c>
      <c r="J75" s="4">
        <f>DISTÂNCIA3[[#This Row],[Valor CTE]]/DISTÂNCIA3[[#This Row],[KM PARA PAGAMENTO DOS FRETES]]</f>
        <v>5.4236507936507934</v>
      </c>
      <c r="K75" s="6">
        <f t="shared" si="2"/>
        <v>627.05999999999995</v>
      </c>
      <c r="L75" s="6">
        <f>0.92*DISTÂNCIA3[[#This Row],[KM distancia]]*4.578</f>
        <v>398.01132000000001</v>
      </c>
      <c r="M75" s="6">
        <f t="shared" si="3"/>
        <v>1025.07</v>
      </c>
    </row>
    <row r="76" spans="1:13" hidden="1" x14ac:dyDescent="0.35">
      <c r="A76">
        <f>'DASE DADOS - DISTANCIA'!A76</f>
        <v>30621</v>
      </c>
      <c r="B76" t="str">
        <f>'DASE DADOS - DISTANCIA'!B76</f>
        <v>CLEIDSON ALBERTO PILATTI</v>
      </c>
      <c r="C76" t="str">
        <f>'DASE DADOS - DISTANCIA'!C76</f>
        <v xml:space="preserve"> A6</v>
      </c>
      <c r="D76" t="str">
        <f>'DASE DADOS - DISTANCIA'!E76</f>
        <v>PRANCHITA</v>
      </c>
      <c r="E76" t="str">
        <f>'DASE DADOS - DISTANCIA'!I76</f>
        <v>PLUSVAL</v>
      </c>
      <c r="F76" s="7">
        <v>141</v>
      </c>
      <c r="G76">
        <f>'DASE DADOS - DISTANCIA'!J76</f>
        <v>282</v>
      </c>
      <c r="H76" s="2">
        <v>420</v>
      </c>
      <c r="I76" s="2" t="e">
        <f>IF(#REF!&lt;17200,DISTÂNCIA3[[#This Row],[KM PARA PAGAMENTO DOS FRETES]]*4.74,((#REF!/17200)*4.74)*DISTÂNCIA3[[#This Row],[KM PARA PAGAMENTO DOS FRETES]])</f>
        <v>#REF!</v>
      </c>
      <c r="J76" s="4">
        <f>DISTÂNCIA3[[#This Row],[Valor CTE]]/DISTÂNCIA3[[#This Row],[KM PARA PAGAMENTO DOS FRETES]]</f>
        <v>5.0843971631205669</v>
      </c>
      <c r="K76" s="6">
        <f t="shared" si="2"/>
        <v>839.94</v>
      </c>
      <c r="L76" s="6">
        <f>0.92*DISTÂNCIA3[[#This Row],[KM distancia]]*4.578</f>
        <v>593.85816</v>
      </c>
      <c r="M76" s="6">
        <f t="shared" si="3"/>
        <v>1433.8</v>
      </c>
    </row>
    <row r="77" spans="1:13" hidden="1" x14ac:dyDescent="0.35">
      <c r="A77">
        <f>'DASE DADOS - DISTANCIA'!A77</f>
        <v>30046</v>
      </c>
      <c r="B77" t="str">
        <f>'DASE DADOS - DISTANCIA'!B77</f>
        <v>ANA LUCIA TALINI</v>
      </c>
      <c r="C77" t="str">
        <f>'DASE DADOS - DISTANCIA'!C77</f>
        <v xml:space="preserve"> A1</v>
      </c>
      <c r="D77" t="str">
        <f>'DASE DADOS - DISTANCIA'!E77</f>
        <v>CASCAVEL</v>
      </c>
      <c r="E77" t="str">
        <f>'DASE DADOS - DISTANCIA'!I77</f>
        <v>PLUSVAL</v>
      </c>
      <c r="F77" s="7">
        <v>61.5</v>
      </c>
      <c r="G77">
        <f>'DASE DADOS - DISTANCIA'!J77</f>
        <v>123</v>
      </c>
      <c r="H77" s="2">
        <v>420</v>
      </c>
      <c r="I77" s="2" t="e">
        <f>IF(#REF!&lt;17200,DISTÂNCIA3[[#This Row],[KM PARA PAGAMENTO DOS FRETES]]*4.74,((#REF!/17200)*4.74)*DISTÂNCIA3[[#This Row],[KM PARA PAGAMENTO DOS FRETES]])</f>
        <v>#REF!</v>
      </c>
      <c r="J77" s="4">
        <f>DISTÂNCIA3[[#This Row],[Valor CTE]]/DISTÂNCIA3[[#This Row],[KM PARA PAGAMENTO DOS FRETES]]</f>
        <v>5.975691056910569</v>
      </c>
      <c r="K77" s="6">
        <f t="shared" si="2"/>
        <v>475.99</v>
      </c>
      <c r="L77" s="6">
        <f>0.92*DISTÂNCIA3[[#This Row],[KM distancia]]*4.578</f>
        <v>259.02324000000004</v>
      </c>
      <c r="M77" s="6">
        <f t="shared" si="3"/>
        <v>735.01</v>
      </c>
    </row>
    <row r="78" spans="1:13" hidden="1" x14ac:dyDescent="0.35">
      <c r="A78">
        <f>'DASE DADOS - DISTANCIA'!A78</f>
        <v>30621</v>
      </c>
      <c r="B78" t="str">
        <f>'DASE DADOS - DISTANCIA'!B78</f>
        <v>CLEIDSON ALBERTO PILATTI</v>
      </c>
      <c r="C78" t="str">
        <f>'DASE DADOS - DISTANCIA'!C78</f>
        <v xml:space="preserve"> A1</v>
      </c>
      <c r="D78" t="str">
        <f>'DASE DADOS - DISTANCIA'!E78</f>
        <v>PÉROLA DO OESTE</v>
      </c>
      <c r="E78" t="str">
        <f>'DASE DADOS - DISTANCIA'!I78</f>
        <v>PLUSVAL</v>
      </c>
      <c r="F78" s="7">
        <v>141</v>
      </c>
      <c r="G78">
        <f>'DASE DADOS - DISTANCIA'!J78</f>
        <v>282</v>
      </c>
      <c r="H78" s="2">
        <v>420</v>
      </c>
      <c r="I78" s="2" t="e">
        <f>IF(#REF!&lt;17200,DISTÂNCIA3[[#This Row],[KM PARA PAGAMENTO DOS FRETES]]*4.74,((#REF!/17200)*4.74)*DISTÂNCIA3[[#This Row],[KM PARA PAGAMENTO DOS FRETES]])</f>
        <v>#REF!</v>
      </c>
      <c r="J78" s="4">
        <f>DISTÂNCIA3[[#This Row],[Valor CTE]]/DISTÂNCIA3[[#This Row],[KM PARA PAGAMENTO DOS FRETES]]</f>
        <v>5.0843971631205669</v>
      </c>
      <c r="K78" s="6">
        <f t="shared" si="2"/>
        <v>839.94</v>
      </c>
      <c r="L78" s="6">
        <f>0.92*DISTÂNCIA3[[#This Row],[KM distancia]]*4.578</f>
        <v>593.85816</v>
      </c>
      <c r="M78" s="6">
        <f t="shared" si="3"/>
        <v>1433.8</v>
      </c>
    </row>
    <row r="79" spans="1:13" hidden="1" x14ac:dyDescent="0.35">
      <c r="A79">
        <f>'DASE DADOS - DISTANCIA'!A79</f>
        <v>30046</v>
      </c>
      <c r="B79" t="str">
        <f>'DASE DADOS - DISTANCIA'!B79</f>
        <v>ANA LUCIA TALINI</v>
      </c>
      <c r="C79" t="str">
        <f>'DASE DADOS - DISTANCIA'!C79</f>
        <v>A10</v>
      </c>
      <c r="D79" t="str">
        <f>'DASE DADOS - DISTANCIA'!E79</f>
        <v>CASCAVEL</v>
      </c>
      <c r="E79" t="str">
        <f>'DASE DADOS - DISTANCIA'!I79</f>
        <v>PLUSVAL</v>
      </c>
      <c r="F79" s="7">
        <v>61.5</v>
      </c>
      <c r="G79">
        <f>'DASE DADOS - DISTANCIA'!J79</f>
        <v>123</v>
      </c>
      <c r="H79" s="2">
        <v>420</v>
      </c>
      <c r="I79" s="2" t="e">
        <f>IF(#REF!&lt;17200,DISTÂNCIA3[[#This Row],[KM PARA PAGAMENTO DOS FRETES]]*4.74,((#REF!/17200)*4.74)*DISTÂNCIA3[[#This Row],[KM PARA PAGAMENTO DOS FRETES]])</f>
        <v>#REF!</v>
      </c>
      <c r="J79" s="4">
        <f>DISTÂNCIA3[[#This Row],[Valor CTE]]/DISTÂNCIA3[[#This Row],[KM PARA PAGAMENTO DOS FRETES]]</f>
        <v>5.975691056910569</v>
      </c>
      <c r="K79" s="6">
        <f t="shared" si="2"/>
        <v>475.99</v>
      </c>
      <c r="L79" s="6">
        <f>0.92*DISTÂNCIA3[[#This Row],[KM distancia]]*4.578</f>
        <v>259.02324000000004</v>
      </c>
      <c r="M79" s="6">
        <f t="shared" si="3"/>
        <v>735.01</v>
      </c>
    </row>
    <row r="80" spans="1:13" hidden="1" x14ac:dyDescent="0.35">
      <c r="A80">
        <f>'DASE DADOS - DISTANCIA'!A80</f>
        <v>30077</v>
      </c>
      <c r="B80" t="str">
        <f>'DASE DADOS - DISTANCIA'!B80</f>
        <v>DERLI GUILHERME SEIBEL</v>
      </c>
      <c r="C80" t="str">
        <f>'DASE DADOS - DISTANCIA'!C80</f>
        <v xml:space="preserve"> A1</v>
      </c>
      <c r="D80" t="str">
        <f>'DASE DADOS - DISTANCIA'!E80</f>
        <v>CAPANEMA</v>
      </c>
      <c r="E80" t="str">
        <f>'DASE DADOS - DISTANCIA'!I80</f>
        <v>PLUSVAL</v>
      </c>
      <c r="F80" s="7">
        <v>130</v>
      </c>
      <c r="G80">
        <f>'DASE DADOS - DISTANCIA'!J80</f>
        <v>260</v>
      </c>
      <c r="H80" s="2">
        <v>420</v>
      </c>
      <c r="I80" s="2" t="e">
        <f>IF(#REF!&lt;17200,DISTÂNCIA3[[#This Row],[KM PARA PAGAMENTO DOS FRETES]]*4.74,((#REF!/17200)*4.74)*DISTÂNCIA3[[#This Row],[KM PARA PAGAMENTO DOS FRETES]])</f>
        <v>#REF!</v>
      </c>
      <c r="J80" s="4">
        <f>DISTÂNCIA3[[#This Row],[Valor CTE]]/DISTÂNCIA3[[#This Row],[KM PARA PAGAMENTO DOS FRETES]]</f>
        <v>5.1427307692307691</v>
      </c>
      <c r="K80" s="6">
        <f t="shared" si="2"/>
        <v>789.58</v>
      </c>
      <c r="L80" s="6">
        <f>0.92*DISTÂNCIA3[[#This Row],[KM distancia]]*4.578</f>
        <v>547.52880000000005</v>
      </c>
      <c r="M80" s="6">
        <f t="shared" si="3"/>
        <v>1337.11</v>
      </c>
    </row>
    <row r="81" spans="1:13" hidden="1" x14ac:dyDescent="0.35">
      <c r="A81">
        <f>'DASE DADOS - DISTANCIA'!A81</f>
        <v>30046</v>
      </c>
      <c r="B81" t="str">
        <f>'DASE DADOS - DISTANCIA'!B81</f>
        <v>ANA LUCIA TALINI</v>
      </c>
      <c r="C81" t="str">
        <f>'DASE DADOS - DISTANCIA'!C81</f>
        <v xml:space="preserve"> A2</v>
      </c>
      <c r="D81" t="str">
        <f>'DASE DADOS - DISTANCIA'!E81</f>
        <v>CASCAVEL</v>
      </c>
      <c r="E81" t="str">
        <f>'DASE DADOS - DISTANCIA'!I81</f>
        <v>PLUSVAL</v>
      </c>
      <c r="F81" s="7">
        <v>61.5</v>
      </c>
      <c r="G81">
        <f>'DASE DADOS - DISTANCIA'!J81</f>
        <v>123</v>
      </c>
      <c r="H81" s="2">
        <v>420</v>
      </c>
      <c r="I81" s="2" t="e">
        <f>IF(#REF!&lt;17200,DISTÂNCIA3[[#This Row],[KM PARA PAGAMENTO DOS FRETES]]*4.74,((#REF!/17200)*4.74)*DISTÂNCIA3[[#This Row],[KM PARA PAGAMENTO DOS FRETES]])</f>
        <v>#REF!</v>
      </c>
      <c r="J81" s="4">
        <f>DISTÂNCIA3[[#This Row],[Valor CTE]]/DISTÂNCIA3[[#This Row],[KM PARA PAGAMENTO DOS FRETES]]</f>
        <v>5.975691056910569</v>
      </c>
      <c r="K81" s="6">
        <f t="shared" si="2"/>
        <v>475.99</v>
      </c>
      <c r="L81" s="6">
        <f>0.92*DISTÂNCIA3[[#This Row],[KM distancia]]*4.578</f>
        <v>259.02324000000004</v>
      </c>
      <c r="M81" s="6">
        <f t="shared" si="3"/>
        <v>735.01</v>
      </c>
    </row>
    <row r="82" spans="1:13" hidden="1" x14ac:dyDescent="0.35">
      <c r="A82">
        <f>'DASE DADOS - DISTANCIA'!A82</f>
        <v>30042</v>
      </c>
      <c r="B82" t="str">
        <f>'DASE DADOS - DISTANCIA'!B82</f>
        <v>DILSON SEIBEL</v>
      </c>
      <c r="C82" t="str">
        <f>'DASE DADOS - DISTANCIA'!C82</f>
        <v xml:space="preserve"> A1</v>
      </c>
      <c r="D82" t="str">
        <f>'DASE DADOS - DISTANCIA'!E82</f>
        <v>CAPANEMA</v>
      </c>
      <c r="E82" t="str">
        <f>'DASE DADOS - DISTANCIA'!I82</f>
        <v>PLUSVAL</v>
      </c>
      <c r="F82" s="7">
        <v>130</v>
      </c>
      <c r="G82">
        <f>'DASE DADOS - DISTANCIA'!J82</f>
        <v>260</v>
      </c>
      <c r="H82" s="2">
        <v>420</v>
      </c>
      <c r="I82" s="2" t="e">
        <f>IF(#REF!&lt;17200,DISTÂNCIA3[[#This Row],[KM PARA PAGAMENTO DOS FRETES]]*4.74,((#REF!/17200)*4.74)*DISTÂNCIA3[[#This Row],[KM PARA PAGAMENTO DOS FRETES]])</f>
        <v>#REF!</v>
      </c>
      <c r="J82" s="4">
        <f>DISTÂNCIA3[[#This Row],[Valor CTE]]/DISTÂNCIA3[[#This Row],[KM PARA PAGAMENTO DOS FRETES]]</f>
        <v>5.1427307692307691</v>
      </c>
      <c r="K82" s="6">
        <f t="shared" si="2"/>
        <v>789.58</v>
      </c>
      <c r="L82" s="6">
        <f>0.92*DISTÂNCIA3[[#This Row],[KM distancia]]*4.578</f>
        <v>547.52880000000005</v>
      </c>
      <c r="M82" s="6">
        <f t="shared" si="3"/>
        <v>1337.11</v>
      </c>
    </row>
    <row r="83" spans="1:13" hidden="1" x14ac:dyDescent="0.35">
      <c r="A83">
        <f>'DASE DADOS - DISTANCIA'!A83</f>
        <v>30046</v>
      </c>
      <c r="B83" t="str">
        <f>'DASE DADOS - DISTANCIA'!B83</f>
        <v>ANA LUCIA TALINI</v>
      </c>
      <c r="C83" t="str">
        <f>'DASE DADOS - DISTANCIA'!C83</f>
        <v xml:space="preserve"> A3</v>
      </c>
      <c r="D83" t="str">
        <f>'DASE DADOS - DISTANCIA'!E83</f>
        <v>CASCAVEL</v>
      </c>
      <c r="E83" t="str">
        <f>'DASE DADOS - DISTANCIA'!I83</f>
        <v>PLUSVAL</v>
      </c>
      <c r="F83" s="7">
        <v>61.5</v>
      </c>
      <c r="G83">
        <f>'DASE DADOS - DISTANCIA'!J83</f>
        <v>123</v>
      </c>
      <c r="H83" s="2">
        <v>420</v>
      </c>
      <c r="I83" s="2" t="e">
        <f>IF(#REF!&lt;17200,DISTÂNCIA3[[#This Row],[KM PARA PAGAMENTO DOS FRETES]]*4.74,((#REF!/17200)*4.74)*DISTÂNCIA3[[#This Row],[KM PARA PAGAMENTO DOS FRETES]])</f>
        <v>#REF!</v>
      </c>
      <c r="J83" s="4">
        <f>DISTÂNCIA3[[#This Row],[Valor CTE]]/DISTÂNCIA3[[#This Row],[KM PARA PAGAMENTO DOS FRETES]]</f>
        <v>5.975691056910569</v>
      </c>
      <c r="K83" s="6">
        <f t="shared" si="2"/>
        <v>475.99</v>
      </c>
      <c r="L83" s="6">
        <f>0.92*DISTÂNCIA3[[#This Row],[KM distancia]]*4.578</f>
        <v>259.02324000000004</v>
      </c>
      <c r="M83" s="6">
        <f t="shared" si="3"/>
        <v>735.01</v>
      </c>
    </row>
    <row r="84" spans="1:13" hidden="1" x14ac:dyDescent="0.35">
      <c r="A84">
        <f>'DASE DADOS - DISTANCIA'!A84</f>
        <v>30042</v>
      </c>
      <c r="B84" t="str">
        <f>'DASE DADOS - DISTANCIA'!B84</f>
        <v>DILSON SEIBEL</v>
      </c>
      <c r="C84" t="str">
        <f>'DASE DADOS - DISTANCIA'!C84</f>
        <v xml:space="preserve"> A2</v>
      </c>
      <c r="D84" t="str">
        <f>'DASE DADOS - DISTANCIA'!E84</f>
        <v>CAPANEMA</v>
      </c>
      <c r="E84" t="str">
        <f>'DASE DADOS - DISTANCIA'!I84</f>
        <v>PLUSVAL</v>
      </c>
      <c r="F84" s="7">
        <v>130</v>
      </c>
      <c r="G84">
        <f>'DASE DADOS - DISTANCIA'!J84</f>
        <v>260</v>
      </c>
      <c r="H84" s="2">
        <v>420</v>
      </c>
      <c r="I84" s="2" t="e">
        <f>IF(#REF!&lt;17200,DISTÂNCIA3[[#This Row],[KM PARA PAGAMENTO DOS FRETES]]*4.74,((#REF!/17200)*4.74)*DISTÂNCIA3[[#This Row],[KM PARA PAGAMENTO DOS FRETES]])</f>
        <v>#REF!</v>
      </c>
      <c r="J84" s="4">
        <f>DISTÂNCIA3[[#This Row],[Valor CTE]]/DISTÂNCIA3[[#This Row],[KM PARA PAGAMENTO DOS FRETES]]</f>
        <v>5.1427307692307691</v>
      </c>
      <c r="K84" s="6">
        <f t="shared" si="2"/>
        <v>789.58</v>
      </c>
      <c r="L84" s="6">
        <f>0.92*DISTÂNCIA3[[#This Row],[KM distancia]]*4.578</f>
        <v>547.52880000000005</v>
      </c>
      <c r="M84" s="6">
        <f t="shared" si="3"/>
        <v>1337.11</v>
      </c>
    </row>
    <row r="85" spans="1:13" hidden="1" x14ac:dyDescent="0.35">
      <c r="A85">
        <f>'DASE DADOS - DISTANCIA'!A85</f>
        <v>30042</v>
      </c>
      <c r="B85" t="str">
        <f>'DASE DADOS - DISTANCIA'!B85</f>
        <v>DILSON SEIBEL</v>
      </c>
      <c r="C85" t="str">
        <f>'DASE DADOS - DISTANCIA'!C85</f>
        <v xml:space="preserve"> A3</v>
      </c>
      <c r="D85" t="str">
        <f>'DASE DADOS - DISTANCIA'!E85</f>
        <v>CAPANEMA</v>
      </c>
      <c r="E85" t="str">
        <f>'DASE DADOS - DISTANCIA'!I85</f>
        <v>PLUSVAL</v>
      </c>
      <c r="F85" s="7">
        <v>130</v>
      </c>
      <c r="G85">
        <f>'DASE DADOS - DISTANCIA'!J85</f>
        <v>260</v>
      </c>
      <c r="H85" s="2">
        <v>420</v>
      </c>
      <c r="I85" s="2" t="e">
        <f>IF(#REF!&lt;17200,DISTÂNCIA3[[#This Row],[KM PARA PAGAMENTO DOS FRETES]]*4.74,((#REF!/17200)*4.74)*DISTÂNCIA3[[#This Row],[KM PARA PAGAMENTO DOS FRETES]])</f>
        <v>#REF!</v>
      </c>
      <c r="J85" s="4">
        <f>DISTÂNCIA3[[#This Row],[Valor CTE]]/DISTÂNCIA3[[#This Row],[KM PARA PAGAMENTO DOS FRETES]]</f>
        <v>5.1427307692307691</v>
      </c>
      <c r="K85" s="6">
        <f t="shared" si="2"/>
        <v>789.58</v>
      </c>
      <c r="L85" s="6">
        <f>0.92*DISTÂNCIA3[[#This Row],[KM distancia]]*4.578</f>
        <v>547.52880000000005</v>
      </c>
      <c r="M85" s="6">
        <f t="shared" si="3"/>
        <v>1337.11</v>
      </c>
    </row>
    <row r="86" spans="1:13" hidden="1" x14ac:dyDescent="0.35">
      <c r="A86">
        <f>'DASE DADOS - DISTANCIA'!A86</f>
        <v>30046</v>
      </c>
      <c r="B86" t="str">
        <f>'DASE DADOS - DISTANCIA'!B86</f>
        <v>ANA LUCIA TALINI</v>
      </c>
      <c r="C86" t="str">
        <f>'DASE DADOS - DISTANCIA'!C86</f>
        <v xml:space="preserve"> A4</v>
      </c>
      <c r="D86" t="str">
        <f>'DASE DADOS - DISTANCIA'!E86</f>
        <v>CASCAVEL</v>
      </c>
      <c r="E86" t="str">
        <f>'DASE DADOS - DISTANCIA'!I86</f>
        <v>PLUSVAL</v>
      </c>
      <c r="F86" s="7">
        <v>61.5</v>
      </c>
      <c r="G86">
        <f>'DASE DADOS - DISTANCIA'!J86</f>
        <v>123</v>
      </c>
      <c r="H86" s="2">
        <v>420</v>
      </c>
      <c r="I86" s="2" t="e">
        <f>IF(#REF!&lt;17200,DISTÂNCIA3[[#This Row],[KM PARA PAGAMENTO DOS FRETES]]*4.74,((#REF!/17200)*4.74)*DISTÂNCIA3[[#This Row],[KM PARA PAGAMENTO DOS FRETES]])</f>
        <v>#REF!</v>
      </c>
      <c r="J86" s="4">
        <f>DISTÂNCIA3[[#This Row],[Valor CTE]]/DISTÂNCIA3[[#This Row],[KM PARA PAGAMENTO DOS FRETES]]</f>
        <v>5.975691056910569</v>
      </c>
      <c r="K86" s="6">
        <f t="shared" si="2"/>
        <v>475.99</v>
      </c>
      <c r="L86" s="6">
        <f>0.92*DISTÂNCIA3[[#This Row],[KM distancia]]*4.578</f>
        <v>259.02324000000004</v>
      </c>
      <c r="M86" s="6">
        <f t="shared" si="3"/>
        <v>735.01</v>
      </c>
    </row>
    <row r="87" spans="1:13" hidden="1" x14ac:dyDescent="0.35">
      <c r="A87">
        <f>'DASE DADOS - DISTANCIA'!A87</f>
        <v>30073</v>
      </c>
      <c r="B87" t="str">
        <f>'DASE DADOS - DISTANCIA'!B87</f>
        <v>SADI ANTONIO FOIATO</v>
      </c>
      <c r="C87" t="str">
        <f>'DASE DADOS - DISTANCIA'!C87</f>
        <v xml:space="preserve"> A1</v>
      </c>
      <c r="D87" t="str">
        <f>'DASE DADOS - DISTANCIA'!E87</f>
        <v>PÉROLA DO OESTE</v>
      </c>
      <c r="E87" t="str">
        <f>'DASE DADOS - DISTANCIA'!I87</f>
        <v>PLUSVAL</v>
      </c>
      <c r="F87" s="7">
        <v>137</v>
      </c>
      <c r="G87">
        <f>'DASE DADOS - DISTANCIA'!J87</f>
        <v>274</v>
      </c>
      <c r="H87" s="2">
        <v>420</v>
      </c>
      <c r="I87" s="2" t="e">
        <f>IF(#REF!&lt;17200,DISTÂNCIA3[[#This Row],[KM PARA PAGAMENTO DOS FRETES]]*4.74,((#REF!/17200)*4.74)*DISTÂNCIA3[[#This Row],[KM PARA PAGAMENTO DOS FRETES]])</f>
        <v>#REF!</v>
      </c>
      <c r="J87" s="4">
        <f>DISTÂNCIA3[[#This Row],[Valor CTE]]/DISTÂNCIA3[[#This Row],[KM PARA PAGAMENTO DOS FRETES]]</f>
        <v>5.104525547445256</v>
      </c>
      <c r="K87" s="6">
        <f t="shared" si="2"/>
        <v>821.63</v>
      </c>
      <c r="L87" s="6">
        <f>0.92*DISTÂNCIA3[[#This Row],[KM distancia]]*4.578</f>
        <v>577.01112000000012</v>
      </c>
      <c r="M87" s="6">
        <f t="shared" si="3"/>
        <v>1398.64</v>
      </c>
    </row>
    <row r="88" spans="1:13" hidden="1" x14ac:dyDescent="0.35">
      <c r="A88">
        <f>'DASE DADOS - DISTANCIA'!A88</f>
        <v>30046</v>
      </c>
      <c r="B88" t="str">
        <f>'DASE DADOS - DISTANCIA'!B88</f>
        <v>ANA LUCIA TALINI</v>
      </c>
      <c r="C88" t="str">
        <f>'DASE DADOS - DISTANCIA'!C88</f>
        <v>A11</v>
      </c>
      <c r="D88" t="str">
        <f>'DASE DADOS - DISTANCIA'!E88</f>
        <v>CASCAVEL</v>
      </c>
      <c r="E88" t="str">
        <f>'DASE DADOS - DISTANCIA'!I88</f>
        <v>PLUSVAL</v>
      </c>
      <c r="F88" s="7">
        <v>61.5</v>
      </c>
      <c r="G88">
        <f>'DASE DADOS - DISTANCIA'!J88</f>
        <v>123</v>
      </c>
      <c r="H88" s="2">
        <v>420</v>
      </c>
      <c r="I88" s="2" t="e">
        <f>IF(#REF!&lt;17200,DISTÂNCIA3[[#This Row],[KM PARA PAGAMENTO DOS FRETES]]*4.74,((#REF!/17200)*4.74)*DISTÂNCIA3[[#This Row],[KM PARA PAGAMENTO DOS FRETES]])</f>
        <v>#REF!</v>
      </c>
      <c r="J88" s="4">
        <f>DISTÂNCIA3[[#This Row],[Valor CTE]]/DISTÂNCIA3[[#This Row],[KM PARA PAGAMENTO DOS FRETES]]</f>
        <v>5.975691056910569</v>
      </c>
      <c r="K88" s="6">
        <f t="shared" si="2"/>
        <v>475.99</v>
      </c>
      <c r="L88" s="6">
        <f>0.92*DISTÂNCIA3[[#This Row],[KM distancia]]*4.578</f>
        <v>259.02324000000004</v>
      </c>
      <c r="M88" s="6">
        <f t="shared" si="3"/>
        <v>735.01</v>
      </c>
    </row>
    <row r="89" spans="1:13" hidden="1" x14ac:dyDescent="0.35">
      <c r="A89">
        <f>'DASE DADOS - DISTANCIA'!A89</f>
        <v>30086</v>
      </c>
      <c r="B89" t="str">
        <f>'DASE DADOS - DISTANCIA'!B89</f>
        <v>PAULO CEZAR COLLE</v>
      </c>
      <c r="C89" t="str">
        <f>'DASE DADOS - DISTANCIA'!C89</f>
        <v xml:space="preserve"> A2</v>
      </c>
      <c r="D89" t="str">
        <f>'DASE DADOS - DISTANCIA'!E89</f>
        <v>BARRACÃO</v>
      </c>
      <c r="E89" t="str">
        <f>'DASE DADOS - DISTANCIA'!I89</f>
        <v>PLUSVAL</v>
      </c>
      <c r="F89" s="7">
        <v>193</v>
      </c>
      <c r="G89">
        <f>'DASE DADOS - DISTANCIA'!J89</f>
        <v>386</v>
      </c>
      <c r="H89" s="2">
        <v>420</v>
      </c>
      <c r="I89" s="2" t="e">
        <f>IF(#REF!&lt;17200,DISTÂNCIA3[[#This Row],[KM PARA PAGAMENTO DOS FRETES]]*4.74,((#REF!/17200)*4.74)*DISTÂNCIA3[[#This Row],[KM PARA PAGAMENTO DOS FRETES]])</f>
        <v>#REF!</v>
      </c>
      <c r="J89" s="4">
        <f>DISTÂNCIA3[[#This Row],[Valor CTE]]/DISTÂNCIA3[[#This Row],[KM PARA PAGAMENTO DOS FRETES]]</f>
        <v>4.8986010362694294</v>
      </c>
      <c r="K89" s="6">
        <f t="shared" si="2"/>
        <v>1077.99</v>
      </c>
      <c r="L89" s="6">
        <f>0.92*DISTÂNCIA3[[#This Row],[KM distancia]]*4.578</f>
        <v>812.86968000000002</v>
      </c>
      <c r="M89" s="6">
        <f t="shared" si="3"/>
        <v>1890.86</v>
      </c>
    </row>
    <row r="90" spans="1:13" hidden="1" x14ac:dyDescent="0.35">
      <c r="A90">
        <f>'DASE DADOS - DISTANCIA'!A90</f>
        <v>30046</v>
      </c>
      <c r="B90" t="str">
        <f>'DASE DADOS - DISTANCIA'!B90</f>
        <v>ANA LUCIA TALINI</v>
      </c>
      <c r="C90" t="str">
        <f>'DASE DADOS - DISTANCIA'!C90</f>
        <v xml:space="preserve"> A6</v>
      </c>
      <c r="D90" t="str">
        <f>'DASE DADOS - DISTANCIA'!E90</f>
        <v>CASCAVEL</v>
      </c>
      <c r="E90" t="str">
        <f>'DASE DADOS - DISTANCIA'!I90</f>
        <v>PLUSVAL</v>
      </c>
      <c r="F90" s="7">
        <v>61.5</v>
      </c>
      <c r="G90">
        <f>'DASE DADOS - DISTANCIA'!J90</f>
        <v>123</v>
      </c>
      <c r="H90" s="2">
        <v>420</v>
      </c>
      <c r="I90" s="2" t="e">
        <f>IF(#REF!&lt;17200,DISTÂNCIA3[[#This Row],[KM PARA PAGAMENTO DOS FRETES]]*4.74,((#REF!/17200)*4.74)*DISTÂNCIA3[[#This Row],[KM PARA PAGAMENTO DOS FRETES]])</f>
        <v>#REF!</v>
      </c>
      <c r="J90" s="4">
        <f>DISTÂNCIA3[[#This Row],[Valor CTE]]/DISTÂNCIA3[[#This Row],[KM PARA PAGAMENTO DOS FRETES]]</f>
        <v>5.975691056910569</v>
      </c>
      <c r="K90" s="6">
        <f t="shared" si="2"/>
        <v>475.99</v>
      </c>
      <c r="L90" s="6">
        <f>0.92*DISTÂNCIA3[[#This Row],[KM distancia]]*4.578</f>
        <v>259.02324000000004</v>
      </c>
      <c r="M90" s="6">
        <f t="shared" si="3"/>
        <v>735.01</v>
      </c>
    </row>
    <row r="91" spans="1:13" hidden="1" x14ac:dyDescent="0.35">
      <c r="A91">
        <f>'DASE DADOS - DISTANCIA'!A91</f>
        <v>30086</v>
      </c>
      <c r="B91" t="str">
        <f>'DASE DADOS - DISTANCIA'!B91</f>
        <v>PAULO CEZAR COLLE</v>
      </c>
      <c r="C91" t="str">
        <f>'DASE DADOS - DISTANCIA'!C91</f>
        <v xml:space="preserve"> A1</v>
      </c>
      <c r="D91" t="str">
        <f>'DASE DADOS - DISTANCIA'!E91</f>
        <v>BARRACÃO</v>
      </c>
      <c r="E91" t="str">
        <f>'DASE DADOS - DISTANCIA'!I91</f>
        <v>PLUSVAL</v>
      </c>
      <c r="F91" s="7">
        <v>193</v>
      </c>
      <c r="G91">
        <f>'DASE DADOS - DISTANCIA'!J91</f>
        <v>386</v>
      </c>
      <c r="H91" s="2">
        <v>420</v>
      </c>
      <c r="I91" s="2" t="e">
        <f>IF(#REF!&lt;17200,DISTÂNCIA3[[#This Row],[KM PARA PAGAMENTO DOS FRETES]]*4.74,((#REF!/17200)*4.74)*DISTÂNCIA3[[#This Row],[KM PARA PAGAMENTO DOS FRETES]])</f>
        <v>#REF!</v>
      </c>
      <c r="J91" s="4">
        <f>DISTÂNCIA3[[#This Row],[Valor CTE]]/DISTÂNCIA3[[#This Row],[KM PARA PAGAMENTO DOS FRETES]]</f>
        <v>4.8986010362694294</v>
      </c>
      <c r="K91" s="6">
        <f t="shared" si="2"/>
        <v>1077.99</v>
      </c>
      <c r="L91" s="6">
        <f>0.92*DISTÂNCIA3[[#This Row],[KM distancia]]*4.578</f>
        <v>812.86968000000002</v>
      </c>
      <c r="M91" s="6">
        <f t="shared" si="3"/>
        <v>1890.86</v>
      </c>
    </row>
    <row r="92" spans="1:13" hidden="1" x14ac:dyDescent="0.35">
      <c r="A92">
        <f>'DASE DADOS - DISTANCIA'!A92</f>
        <v>30046</v>
      </c>
      <c r="B92" t="str">
        <f>'DASE DADOS - DISTANCIA'!B92</f>
        <v>ANA LUCIA TALINI</v>
      </c>
      <c r="C92" t="str">
        <f>'DASE DADOS - DISTANCIA'!C92</f>
        <v xml:space="preserve"> A7</v>
      </c>
      <c r="D92" t="str">
        <f>'DASE DADOS - DISTANCIA'!E92</f>
        <v>CASCAVEL</v>
      </c>
      <c r="E92" t="str">
        <f>'DASE DADOS - DISTANCIA'!I92</f>
        <v>PLUSVAL</v>
      </c>
      <c r="F92" s="7">
        <v>61.5</v>
      </c>
      <c r="G92">
        <f>'DASE DADOS - DISTANCIA'!J92</f>
        <v>123</v>
      </c>
      <c r="H92" s="2">
        <v>420</v>
      </c>
      <c r="I92" s="2" t="e">
        <f>IF(#REF!&lt;17200,DISTÂNCIA3[[#This Row],[KM PARA PAGAMENTO DOS FRETES]]*4.74,((#REF!/17200)*4.74)*DISTÂNCIA3[[#This Row],[KM PARA PAGAMENTO DOS FRETES]])</f>
        <v>#REF!</v>
      </c>
      <c r="J92" s="4">
        <f>DISTÂNCIA3[[#This Row],[Valor CTE]]/DISTÂNCIA3[[#This Row],[KM PARA PAGAMENTO DOS FRETES]]</f>
        <v>5.975691056910569</v>
      </c>
      <c r="K92" s="6">
        <f t="shared" si="2"/>
        <v>475.99</v>
      </c>
      <c r="L92" s="6">
        <f>0.92*DISTÂNCIA3[[#This Row],[KM distancia]]*4.578</f>
        <v>259.02324000000004</v>
      </c>
      <c r="M92" s="6">
        <f t="shared" si="3"/>
        <v>735.01</v>
      </c>
    </row>
    <row r="93" spans="1:13" hidden="1" x14ac:dyDescent="0.35">
      <c r="A93">
        <f>'DASE DADOS - DISTANCIA'!A93</f>
        <v>30472</v>
      </c>
      <c r="B93" t="str">
        <f>'DASE DADOS - DISTANCIA'!B93</f>
        <v>NILSON JOSE DE SOUZA</v>
      </c>
      <c r="C93" t="str">
        <f>'DASE DADOS - DISTANCIA'!C93</f>
        <v xml:space="preserve"> A1</v>
      </c>
      <c r="D93" t="str">
        <f>'DASE DADOS - DISTANCIA'!E93</f>
        <v>TRÊS BARRAS DO PARANÁ</v>
      </c>
      <c r="E93" t="str">
        <f>'DASE DADOS - DISTANCIA'!I93</f>
        <v>PLUSVAL</v>
      </c>
      <c r="F93" s="7">
        <v>109</v>
      </c>
      <c r="G93">
        <f>'DASE DADOS - DISTANCIA'!J93</f>
        <v>218</v>
      </c>
      <c r="H93" s="2">
        <v>420</v>
      </c>
      <c r="I93" s="2" t="e">
        <f>IF(#REF!&lt;17200,DISTÂNCIA3[[#This Row],[KM PARA PAGAMENTO DOS FRETES]]*4.74,((#REF!/17200)*4.74)*DISTÂNCIA3[[#This Row],[KM PARA PAGAMENTO DOS FRETES]])</f>
        <v>#REF!</v>
      </c>
      <c r="J93" s="4">
        <f>DISTÂNCIA3[[#This Row],[Valor CTE]]/DISTÂNCIA3[[#This Row],[KM PARA PAGAMENTO DOS FRETES]]</f>
        <v>5.2867889908256878</v>
      </c>
      <c r="K93" s="6">
        <f t="shared" si="2"/>
        <v>693.44</v>
      </c>
      <c r="L93" s="6">
        <f>0.92*DISTÂNCIA3[[#This Row],[KM distancia]]*4.578</f>
        <v>459.08184000000006</v>
      </c>
      <c r="M93" s="6">
        <f t="shared" si="3"/>
        <v>1152.52</v>
      </c>
    </row>
    <row r="94" spans="1:13" hidden="1" x14ac:dyDescent="0.35">
      <c r="A94">
        <f>'DASE DADOS - DISTANCIA'!A94</f>
        <v>30046</v>
      </c>
      <c r="B94" t="str">
        <f>'DASE DADOS - DISTANCIA'!B94</f>
        <v>ANA LUCIA TALINI</v>
      </c>
      <c r="C94" t="str">
        <f>'DASE DADOS - DISTANCIA'!C94</f>
        <v xml:space="preserve"> A8</v>
      </c>
      <c r="D94" t="str">
        <f>'DASE DADOS - DISTANCIA'!E94</f>
        <v>CASCAVEL</v>
      </c>
      <c r="E94" t="str">
        <f>'DASE DADOS - DISTANCIA'!I94</f>
        <v>PLUSVAL</v>
      </c>
      <c r="F94" s="7">
        <v>61.5</v>
      </c>
      <c r="G94">
        <f>'DASE DADOS - DISTANCIA'!J94</f>
        <v>123</v>
      </c>
      <c r="H94" s="2">
        <v>420</v>
      </c>
      <c r="I94" s="2" t="e">
        <f>IF(#REF!&lt;17200,DISTÂNCIA3[[#This Row],[KM PARA PAGAMENTO DOS FRETES]]*4.74,((#REF!/17200)*4.74)*DISTÂNCIA3[[#This Row],[KM PARA PAGAMENTO DOS FRETES]])</f>
        <v>#REF!</v>
      </c>
      <c r="J94" s="4">
        <f>DISTÂNCIA3[[#This Row],[Valor CTE]]/DISTÂNCIA3[[#This Row],[KM PARA PAGAMENTO DOS FRETES]]</f>
        <v>5.975691056910569</v>
      </c>
      <c r="K94" s="6">
        <f t="shared" si="2"/>
        <v>475.99</v>
      </c>
      <c r="L94" s="6">
        <f>0.92*DISTÂNCIA3[[#This Row],[KM distancia]]*4.578</f>
        <v>259.02324000000004</v>
      </c>
      <c r="M94" s="6">
        <f t="shared" si="3"/>
        <v>735.01</v>
      </c>
    </row>
    <row r="95" spans="1:13" hidden="1" x14ac:dyDescent="0.35">
      <c r="A95">
        <f>'DASE DADOS - DISTANCIA'!A95</f>
        <v>30472</v>
      </c>
      <c r="B95" t="str">
        <f>'DASE DADOS - DISTANCIA'!B95</f>
        <v>NILSON JOSE DE SOUZA</v>
      </c>
      <c r="C95" t="str">
        <f>'DASE DADOS - DISTANCIA'!C95</f>
        <v xml:space="preserve"> A2</v>
      </c>
      <c r="D95" t="str">
        <f>'DASE DADOS - DISTANCIA'!E95</f>
        <v>TRÊS BARRAS DO PARANÁ</v>
      </c>
      <c r="E95" t="str">
        <f>'DASE DADOS - DISTANCIA'!I95</f>
        <v>PLUSVAL</v>
      </c>
      <c r="F95" s="7">
        <v>109</v>
      </c>
      <c r="G95">
        <f>'DASE DADOS - DISTANCIA'!J95</f>
        <v>218</v>
      </c>
      <c r="H95" s="2">
        <v>420</v>
      </c>
      <c r="I95" s="2" t="e">
        <f>IF(#REF!&lt;17200,DISTÂNCIA3[[#This Row],[KM PARA PAGAMENTO DOS FRETES]]*4.74,((#REF!/17200)*4.74)*DISTÂNCIA3[[#This Row],[KM PARA PAGAMENTO DOS FRETES]])</f>
        <v>#REF!</v>
      </c>
      <c r="J95" s="4">
        <f>DISTÂNCIA3[[#This Row],[Valor CTE]]/DISTÂNCIA3[[#This Row],[KM PARA PAGAMENTO DOS FRETES]]</f>
        <v>5.2867889908256878</v>
      </c>
      <c r="K95" s="6">
        <f t="shared" si="2"/>
        <v>693.44</v>
      </c>
      <c r="L95" s="6">
        <f>0.92*DISTÂNCIA3[[#This Row],[KM distancia]]*4.578</f>
        <v>459.08184000000006</v>
      </c>
      <c r="M95" s="6">
        <f t="shared" si="3"/>
        <v>1152.52</v>
      </c>
    </row>
    <row r="96" spans="1:13" hidden="1" x14ac:dyDescent="0.35">
      <c r="A96">
        <f>'DASE DADOS - DISTANCIA'!A96</f>
        <v>30046</v>
      </c>
      <c r="B96" t="str">
        <f>'DASE DADOS - DISTANCIA'!B96</f>
        <v>ANA LUCIA TALINI</v>
      </c>
      <c r="C96" t="str">
        <f>'DASE DADOS - DISTANCIA'!C96</f>
        <v xml:space="preserve"> A9</v>
      </c>
      <c r="D96" t="str">
        <f>'DASE DADOS - DISTANCIA'!E96</f>
        <v>CASCAVEL</v>
      </c>
      <c r="E96" t="str">
        <f>'DASE DADOS - DISTANCIA'!I96</f>
        <v>PLUSVAL</v>
      </c>
      <c r="F96" s="7">
        <v>61.5</v>
      </c>
      <c r="G96">
        <f>'DASE DADOS - DISTANCIA'!J96</f>
        <v>123</v>
      </c>
      <c r="H96" s="2">
        <v>420</v>
      </c>
      <c r="I96" s="2" t="e">
        <f>IF(#REF!&lt;17200,DISTÂNCIA3[[#This Row],[KM PARA PAGAMENTO DOS FRETES]]*4.74,((#REF!/17200)*4.74)*DISTÂNCIA3[[#This Row],[KM PARA PAGAMENTO DOS FRETES]])</f>
        <v>#REF!</v>
      </c>
      <c r="J96" s="4">
        <f>DISTÂNCIA3[[#This Row],[Valor CTE]]/DISTÂNCIA3[[#This Row],[KM PARA PAGAMENTO DOS FRETES]]</f>
        <v>5.975691056910569</v>
      </c>
      <c r="K96" s="6">
        <f t="shared" si="2"/>
        <v>475.99</v>
      </c>
      <c r="L96" s="6">
        <f>0.92*DISTÂNCIA3[[#This Row],[KM distancia]]*4.578</f>
        <v>259.02324000000004</v>
      </c>
      <c r="M96" s="6">
        <f t="shared" si="3"/>
        <v>735.01</v>
      </c>
    </row>
    <row r="97" spans="1:13" hidden="1" x14ac:dyDescent="0.35">
      <c r="A97">
        <f>'DASE DADOS - DISTANCIA'!A97</f>
        <v>30066</v>
      </c>
      <c r="B97" t="str">
        <f>'DASE DADOS - DISTANCIA'!B97</f>
        <v>VILMAR REUS ALBANO</v>
      </c>
      <c r="C97" t="str">
        <f>'DASE DADOS - DISTANCIA'!C97</f>
        <v xml:space="preserve"> A2</v>
      </c>
      <c r="D97" t="str">
        <f>'DASE DADOS - DISTANCIA'!E97</f>
        <v>CAPANEMA</v>
      </c>
      <c r="E97" t="str">
        <f>'DASE DADOS - DISTANCIA'!I97</f>
        <v>PLUSVAL</v>
      </c>
      <c r="F97" s="7">
        <v>132</v>
      </c>
      <c r="G97">
        <f>'DASE DADOS - DISTANCIA'!J97</f>
        <v>264</v>
      </c>
      <c r="H97" s="2">
        <v>420</v>
      </c>
      <c r="I97" s="2" t="e">
        <f>IF(#REF!&lt;17200,DISTÂNCIA3[[#This Row],[KM PARA PAGAMENTO DOS FRETES]]*4.74,((#REF!/17200)*4.74)*DISTÂNCIA3[[#This Row],[KM PARA PAGAMENTO DOS FRETES]])</f>
        <v>#REF!</v>
      </c>
      <c r="J97" s="4">
        <f>DISTÂNCIA3[[#This Row],[Valor CTE]]/DISTÂNCIA3[[#This Row],[KM PARA PAGAMENTO DOS FRETES]]</f>
        <v>5.1314015151515155</v>
      </c>
      <c r="K97" s="6">
        <f t="shared" si="2"/>
        <v>798.74</v>
      </c>
      <c r="L97" s="6">
        <f>0.92*DISTÂNCIA3[[#This Row],[KM distancia]]*4.578</f>
        <v>555.9523200000001</v>
      </c>
      <c r="M97" s="6">
        <f t="shared" si="3"/>
        <v>1354.69</v>
      </c>
    </row>
    <row r="98" spans="1:13" hidden="1" x14ac:dyDescent="0.35">
      <c r="A98">
        <f>'DASE DADOS - DISTANCIA'!A98</f>
        <v>30046</v>
      </c>
      <c r="B98" t="str">
        <f>'DASE DADOS - DISTANCIA'!B98</f>
        <v>ANA LUCIA TALINI</v>
      </c>
      <c r="C98" t="str">
        <f>'DASE DADOS - DISTANCIA'!C98</f>
        <v xml:space="preserve"> A5</v>
      </c>
      <c r="D98" t="str">
        <f>'DASE DADOS - DISTANCIA'!E98</f>
        <v>CASCAVEL</v>
      </c>
      <c r="E98" t="str">
        <f>'DASE DADOS - DISTANCIA'!I98</f>
        <v>PLUSVAL</v>
      </c>
      <c r="F98" s="7">
        <v>61.5</v>
      </c>
      <c r="G98">
        <f>'DASE DADOS - DISTANCIA'!J98</f>
        <v>123</v>
      </c>
      <c r="H98" s="2">
        <v>420</v>
      </c>
      <c r="I98" s="2" t="e">
        <f>IF(#REF!&lt;17200,DISTÂNCIA3[[#This Row],[KM PARA PAGAMENTO DOS FRETES]]*4.74,((#REF!/17200)*4.74)*DISTÂNCIA3[[#This Row],[KM PARA PAGAMENTO DOS FRETES]])</f>
        <v>#REF!</v>
      </c>
      <c r="J98" s="4">
        <f>DISTÂNCIA3[[#This Row],[Valor CTE]]/DISTÂNCIA3[[#This Row],[KM PARA PAGAMENTO DOS FRETES]]</f>
        <v>5.975691056910569</v>
      </c>
      <c r="K98" s="6">
        <f t="shared" si="2"/>
        <v>475.99</v>
      </c>
      <c r="L98" s="6">
        <f>0.92*DISTÂNCIA3[[#This Row],[KM distancia]]*4.578</f>
        <v>259.02324000000004</v>
      </c>
      <c r="M98" s="6">
        <f t="shared" si="3"/>
        <v>735.01</v>
      </c>
    </row>
    <row r="99" spans="1:13" hidden="1" x14ac:dyDescent="0.35">
      <c r="A99">
        <f>'DASE DADOS - DISTANCIA'!A99</f>
        <v>30066</v>
      </c>
      <c r="B99" t="str">
        <f>'DASE DADOS - DISTANCIA'!B99</f>
        <v>VILMAR REUS ALBANO</v>
      </c>
      <c r="C99" t="str">
        <f>'DASE DADOS - DISTANCIA'!C99</f>
        <v xml:space="preserve"> A1</v>
      </c>
      <c r="D99" t="str">
        <f>'DASE DADOS - DISTANCIA'!E99</f>
        <v>CAPANEMA</v>
      </c>
      <c r="E99" t="str">
        <f>'DASE DADOS - DISTANCIA'!I99</f>
        <v>PLUSVAL</v>
      </c>
      <c r="F99" s="7">
        <v>132</v>
      </c>
      <c r="G99">
        <f>'DASE DADOS - DISTANCIA'!J99</f>
        <v>264</v>
      </c>
      <c r="H99" s="2">
        <v>420</v>
      </c>
      <c r="I99" s="2" t="e">
        <f>IF(#REF!&lt;17200,DISTÂNCIA3[[#This Row],[KM PARA PAGAMENTO DOS FRETES]]*4.74,((#REF!/17200)*4.74)*DISTÂNCIA3[[#This Row],[KM PARA PAGAMENTO DOS FRETES]])</f>
        <v>#REF!</v>
      </c>
      <c r="J99" s="4">
        <f>DISTÂNCIA3[[#This Row],[Valor CTE]]/DISTÂNCIA3[[#This Row],[KM PARA PAGAMENTO DOS FRETES]]</f>
        <v>5.1314015151515155</v>
      </c>
      <c r="K99" s="6">
        <f t="shared" si="2"/>
        <v>798.74</v>
      </c>
      <c r="L99" s="6">
        <f>0.92*DISTÂNCIA3[[#This Row],[KM distancia]]*4.578</f>
        <v>555.9523200000001</v>
      </c>
      <c r="M99" s="6">
        <f t="shared" si="3"/>
        <v>1354.69</v>
      </c>
    </row>
    <row r="100" spans="1:13" hidden="1" x14ac:dyDescent="0.35">
      <c r="A100">
        <f>'DASE DADOS - DISTANCIA'!A100</f>
        <v>6405525</v>
      </c>
      <c r="B100" t="str">
        <f>'DASE DADOS - DISTANCIA'!B100</f>
        <v>ANABEL LUCI BARBACOVI</v>
      </c>
      <c r="C100" t="str">
        <f>'DASE DADOS - DISTANCIA'!C100</f>
        <v xml:space="preserve"> A2</v>
      </c>
      <c r="D100" t="str">
        <f>'DASE DADOS - DISTANCIA'!E100</f>
        <v>SANTA HELENA</v>
      </c>
      <c r="E100" t="str">
        <f>'DASE DADOS - DISTANCIA'!I100</f>
        <v>PLUMA</v>
      </c>
      <c r="F100" s="7">
        <v>115</v>
      </c>
      <c r="G100">
        <f>'DASE DADOS - DISTANCIA'!J100</f>
        <v>230</v>
      </c>
      <c r="H100" s="2">
        <v>420</v>
      </c>
      <c r="I100" s="2" t="e">
        <f>IF(#REF!&lt;17200,DISTÂNCIA3[[#This Row],[KM PARA PAGAMENTO DOS FRETES]]*4.74,((#REF!/17200)*4.74)*DISTÂNCIA3[[#This Row],[KM PARA PAGAMENTO DOS FRETES]])</f>
        <v>#REF!</v>
      </c>
      <c r="J100" s="4">
        <f>DISTÂNCIA3[[#This Row],[Valor CTE]]/DISTÂNCIA3[[#This Row],[KM PARA PAGAMENTO DOS FRETES]]</f>
        <v>5.2402608695652173</v>
      </c>
      <c r="K100" s="6">
        <f t="shared" si="2"/>
        <v>720.91</v>
      </c>
      <c r="L100" s="6">
        <f>0.92*DISTÂNCIA3[[#This Row],[KM distancia]]*4.578</f>
        <v>484.3524000000001</v>
      </c>
      <c r="M100" s="6">
        <f t="shared" si="3"/>
        <v>1205.26</v>
      </c>
    </row>
    <row r="101" spans="1:13" hidden="1" x14ac:dyDescent="0.35">
      <c r="A101">
        <f>'DASE DADOS - DISTANCIA'!A101</f>
        <v>6455620</v>
      </c>
      <c r="B101" t="str">
        <f>'DASE DADOS - DISTANCIA'!B101</f>
        <v>MARCIO OWSIANY</v>
      </c>
      <c r="C101" t="str">
        <f>'DASE DADOS - DISTANCIA'!C101</f>
        <v>A1</v>
      </c>
      <c r="D101" t="str">
        <f>'DASE DADOS - DISTANCIA'!E101</f>
        <v>CASCAVEL</v>
      </c>
      <c r="E101" t="str">
        <f>'DASE DADOS - DISTANCIA'!I101</f>
        <v>PLUMA</v>
      </c>
      <c r="F101" s="7">
        <v>28</v>
      </c>
      <c r="G101">
        <f>'DASE DADOS - DISTANCIA'!J101</f>
        <v>56</v>
      </c>
      <c r="H101" s="2">
        <v>420</v>
      </c>
      <c r="I101" s="2" t="e">
        <f>IF(#REF!&lt;17200,DISTÂNCIA3[[#This Row],[KM PARA PAGAMENTO DOS FRETES]]*4.74,((#REF!/17200)*4.74)*DISTÂNCIA3[[#This Row],[KM PARA PAGAMENTO DOS FRETES]])</f>
        <v>#REF!</v>
      </c>
      <c r="J101" s="4">
        <f>DISTÂNCIA3[[#This Row],[Valor CTE]]/DISTÂNCIA3[[#This Row],[KM PARA PAGAMENTO DOS FRETES]]</f>
        <v>7.8669642857142863</v>
      </c>
      <c r="K101" s="6">
        <f t="shared" si="2"/>
        <v>322.62</v>
      </c>
      <c r="L101" s="6">
        <f>0.92*DISTÂNCIA3[[#This Row],[KM distancia]]*4.578</f>
        <v>117.92928000000002</v>
      </c>
      <c r="M101" s="6">
        <f t="shared" si="3"/>
        <v>440.55</v>
      </c>
    </row>
    <row r="102" spans="1:13" hidden="1" x14ac:dyDescent="0.35">
      <c r="A102">
        <f>'DASE DADOS - DISTANCIA'!A102</f>
        <v>6405525</v>
      </c>
      <c r="B102" t="str">
        <f>'DASE DADOS - DISTANCIA'!B102</f>
        <v>ANABEL LUCI BARBACOVI</v>
      </c>
      <c r="C102" t="str">
        <f>'DASE DADOS - DISTANCIA'!C102</f>
        <v xml:space="preserve"> A1</v>
      </c>
      <c r="D102" t="str">
        <f>'DASE DADOS - DISTANCIA'!E102</f>
        <v>SANTA HELENA</v>
      </c>
      <c r="E102" t="str">
        <f>'DASE DADOS - DISTANCIA'!I102</f>
        <v>PLUMA</v>
      </c>
      <c r="F102" s="7">
        <v>115</v>
      </c>
      <c r="G102">
        <f>'DASE DADOS - DISTANCIA'!J102</f>
        <v>230</v>
      </c>
      <c r="H102" s="2">
        <v>420</v>
      </c>
      <c r="I102" s="2" t="e">
        <f>IF(#REF!&lt;17200,DISTÂNCIA3[[#This Row],[KM PARA PAGAMENTO DOS FRETES]]*4.74,((#REF!/17200)*4.74)*DISTÂNCIA3[[#This Row],[KM PARA PAGAMENTO DOS FRETES]])</f>
        <v>#REF!</v>
      </c>
      <c r="J102" s="4">
        <f>DISTÂNCIA3[[#This Row],[Valor CTE]]/DISTÂNCIA3[[#This Row],[KM PARA PAGAMENTO DOS FRETES]]</f>
        <v>5.2402608695652173</v>
      </c>
      <c r="K102" s="6">
        <f t="shared" si="2"/>
        <v>720.91</v>
      </c>
      <c r="L102" s="6">
        <f>0.92*DISTÂNCIA3[[#This Row],[KM distancia]]*4.578</f>
        <v>484.3524000000001</v>
      </c>
      <c r="M102" s="6">
        <f t="shared" si="3"/>
        <v>1205.26</v>
      </c>
    </row>
    <row r="103" spans="1:13" hidden="1" x14ac:dyDescent="0.35">
      <c r="A103">
        <f>'DASE DADOS - DISTANCIA'!A103</f>
        <v>6455620</v>
      </c>
      <c r="B103" t="str">
        <f>'DASE DADOS - DISTANCIA'!B103</f>
        <v>MARCIO OWSIANY</v>
      </c>
      <c r="C103" t="str">
        <f>'DASE DADOS - DISTANCIA'!C103</f>
        <v>A2</v>
      </c>
      <c r="D103" t="str">
        <f>'DASE DADOS - DISTANCIA'!E103</f>
        <v>CASCAVEL</v>
      </c>
      <c r="E103" t="str">
        <f>'DASE DADOS - DISTANCIA'!I103</f>
        <v>PLUMA</v>
      </c>
      <c r="F103" s="7">
        <v>28</v>
      </c>
      <c r="G103">
        <f>'DASE DADOS - DISTANCIA'!J103</f>
        <v>56</v>
      </c>
      <c r="H103" s="2">
        <v>420</v>
      </c>
      <c r="I103" s="2" t="e">
        <f>IF(#REF!&lt;17200,DISTÂNCIA3[[#This Row],[KM PARA PAGAMENTO DOS FRETES]]*4.74,((#REF!/17200)*4.74)*DISTÂNCIA3[[#This Row],[KM PARA PAGAMENTO DOS FRETES]])</f>
        <v>#REF!</v>
      </c>
      <c r="J103" s="4">
        <f>DISTÂNCIA3[[#This Row],[Valor CTE]]/DISTÂNCIA3[[#This Row],[KM PARA PAGAMENTO DOS FRETES]]</f>
        <v>7.8669642857142863</v>
      </c>
      <c r="K103" s="6">
        <f t="shared" si="2"/>
        <v>322.62</v>
      </c>
      <c r="L103" s="6">
        <f>0.92*DISTÂNCIA3[[#This Row],[KM distancia]]*4.578</f>
        <v>117.92928000000002</v>
      </c>
      <c r="M103" s="6">
        <f t="shared" si="3"/>
        <v>440.55</v>
      </c>
    </row>
    <row r="104" spans="1:13" hidden="1" x14ac:dyDescent="0.35">
      <c r="A104">
        <f>'DASE DADOS - DISTANCIA'!A104</f>
        <v>4720601</v>
      </c>
      <c r="B104" t="str">
        <f>'DASE DADOS - DISTANCIA'!B104</f>
        <v>ANDERSON ANDRE MINUSSI</v>
      </c>
      <c r="C104" t="str">
        <f>'DASE DADOS - DISTANCIA'!C104</f>
        <v xml:space="preserve"> A1</v>
      </c>
      <c r="D104" t="str">
        <f>'DASE DADOS - DISTANCIA'!E104</f>
        <v>TOLEDO</v>
      </c>
      <c r="E104" t="str">
        <f>'DASE DADOS - DISTANCIA'!I104</f>
        <v>PLUMA</v>
      </c>
      <c r="F104" s="7">
        <v>59</v>
      </c>
      <c r="G104">
        <f>'DASE DADOS - DISTANCIA'!J104</f>
        <v>118</v>
      </c>
      <c r="H104" s="2">
        <v>420</v>
      </c>
      <c r="I104" s="2" t="e">
        <f>IF(#REF!&lt;17200,DISTÂNCIA3[[#This Row],[KM PARA PAGAMENTO DOS FRETES]]*4.74,((#REF!/17200)*4.74)*DISTÂNCIA3[[#This Row],[KM PARA PAGAMENTO DOS FRETES]])</f>
        <v>#REF!</v>
      </c>
      <c r="J104" s="4">
        <f>DISTÂNCIA3[[#This Row],[Valor CTE]]/DISTÂNCIA3[[#This Row],[KM PARA PAGAMENTO DOS FRETES]]</f>
        <v>6.0427118644067797</v>
      </c>
      <c r="K104" s="6">
        <f t="shared" si="2"/>
        <v>464.54</v>
      </c>
      <c r="L104" s="6">
        <f>0.92*DISTÂNCIA3[[#This Row],[KM distancia]]*4.578</f>
        <v>248.49384000000003</v>
      </c>
      <c r="M104" s="6">
        <f t="shared" si="3"/>
        <v>713.04</v>
      </c>
    </row>
    <row r="105" spans="1:13" hidden="1" x14ac:dyDescent="0.35">
      <c r="A105">
        <f>'DASE DADOS - DISTANCIA'!A105</f>
        <v>30350</v>
      </c>
      <c r="B105" t="str">
        <f>'DASE DADOS - DISTANCIA'!B105</f>
        <v>ARLEI HERDMANN</v>
      </c>
      <c r="C105" t="str">
        <f>'DASE DADOS - DISTANCIA'!C105</f>
        <v>A1</v>
      </c>
      <c r="D105" t="str">
        <f>'DASE DADOS - DISTANCIA'!E105</f>
        <v>BOM JESUS DO SUL</v>
      </c>
      <c r="E105" t="str">
        <f>'DASE DADOS - DISTANCIA'!I105</f>
        <v>PLUSVAL</v>
      </c>
      <c r="F105" s="7">
        <v>177</v>
      </c>
      <c r="G105">
        <f>'DASE DADOS - DISTANCIA'!J105</f>
        <v>354</v>
      </c>
      <c r="H105" s="2">
        <v>420</v>
      </c>
      <c r="I105" s="2" t="e">
        <f>IF(#REF!&lt;17200,DISTÂNCIA3[[#This Row],[KM PARA PAGAMENTO DOS FRETES]]*4.74,((#REF!/17200)*4.74)*DISTÂNCIA3[[#This Row],[KM PARA PAGAMENTO DOS FRETES]])</f>
        <v>#REF!</v>
      </c>
      <c r="J105" s="4">
        <f>DISTÂNCIA3[[#This Row],[Valor CTE]]/DISTÂNCIA3[[#This Row],[KM PARA PAGAMENTO DOS FRETES]]</f>
        <v>4.9441525423728816</v>
      </c>
      <c r="K105" s="6">
        <f t="shared" si="2"/>
        <v>1004.75</v>
      </c>
      <c r="L105" s="6">
        <f>0.92*DISTÂNCIA3[[#This Row],[KM distancia]]*4.578</f>
        <v>745.48152000000005</v>
      </c>
      <c r="M105" s="6">
        <f t="shared" si="3"/>
        <v>1750.23</v>
      </c>
    </row>
    <row r="106" spans="1:13" hidden="1" x14ac:dyDescent="0.35">
      <c r="A106">
        <f>'DASE DADOS - DISTANCIA'!A106</f>
        <v>4866800</v>
      </c>
      <c r="B106" t="str">
        <f>'DASE DADOS - DISTANCIA'!B106</f>
        <v>ANDERSON WEBER</v>
      </c>
      <c r="C106" t="str">
        <f>'DASE DADOS - DISTANCIA'!C106</f>
        <v xml:space="preserve"> A2</v>
      </c>
      <c r="D106" t="str">
        <f>'DASE DADOS - DISTANCIA'!E106</f>
        <v>TOLEDO</v>
      </c>
      <c r="E106" t="str">
        <f>'DASE DADOS - DISTANCIA'!I106</f>
        <v>PLUMA</v>
      </c>
      <c r="F106" s="7">
        <v>83</v>
      </c>
      <c r="G106">
        <f>'DASE DADOS - DISTANCIA'!J106</f>
        <v>166</v>
      </c>
      <c r="H106" s="2">
        <v>420</v>
      </c>
      <c r="I106" s="2" t="e">
        <f>IF(#REF!&lt;17200,DISTÂNCIA3[[#This Row],[KM PARA PAGAMENTO DOS FRETES]]*4.74,((#REF!/17200)*4.74)*DISTÂNCIA3[[#This Row],[KM PARA PAGAMENTO DOS FRETES]])</f>
        <v>#REF!</v>
      </c>
      <c r="J106" s="4">
        <f>DISTÂNCIA3[[#This Row],[Valor CTE]]/DISTÂNCIA3[[#This Row],[KM PARA PAGAMENTO DOS FRETES]]</f>
        <v>5.5662048192771083</v>
      </c>
      <c r="K106" s="6">
        <f t="shared" si="2"/>
        <v>574.41</v>
      </c>
      <c r="L106" s="6">
        <f>0.92*DISTÂNCIA3[[#This Row],[KM distancia]]*4.578</f>
        <v>349.57608000000005</v>
      </c>
      <c r="M106" s="6">
        <f t="shared" si="3"/>
        <v>923.99</v>
      </c>
    </row>
    <row r="107" spans="1:13" hidden="1" x14ac:dyDescent="0.35">
      <c r="A107">
        <f>'DASE DADOS - DISTANCIA'!A107</f>
        <v>58401</v>
      </c>
      <c r="B107" t="str">
        <f>'DASE DADOS - DISTANCIA'!B107</f>
        <v>GILVAN ANTONIO ZINI</v>
      </c>
      <c r="C107" t="str">
        <f>'DASE DADOS - DISTANCIA'!C107</f>
        <v xml:space="preserve"> A1</v>
      </c>
      <c r="D107" t="str">
        <f>'DASE DADOS - DISTANCIA'!E107</f>
        <v>CAPANEMA</v>
      </c>
      <c r="E107" t="str">
        <f>'DASE DADOS - DISTANCIA'!I107</f>
        <v>PLUSVAL</v>
      </c>
      <c r="F107" s="7">
        <v>118</v>
      </c>
      <c r="G107">
        <f>'DASE DADOS - DISTANCIA'!J107</f>
        <v>236</v>
      </c>
      <c r="H107" s="2">
        <v>420</v>
      </c>
      <c r="I107" s="2" t="e">
        <f>IF(#REF!&lt;17200,DISTÂNCIA3[[#This Row],[KM PARA PAGAMENTO DOS FRETES]]*4.74,((#REF!/17200)*4.74)*DISTÂNCIA3[[#This Row],[KM PARA PAGAMENTO DOS FRETES]])</f>
        <v>#REF!</v>
      </c>
      <c r="J107" s="4">
        <f>DISTÂNCIA3[[#This Row],[Valor CTE]]/DISTÂNCIA3[[#This Row],[KM PARA PAGAMENTO DOS FRETES]]</f>
        <v>5.2187711864406783</v>
      </c>
      <c r="K107" s="6">
        <f t="shared" si="2"/>
        <v>734.64</v>
      </c>
      <c r="L107" s="6">
        <f>0.92*DISTÂNCIA3[[#This Row],[KM distancia]]*4.578</f>
        <v>496.98768000000007</v>
      </c>
      <c r="M107" s="6">
        <f t="shared" si="3"/>
        <v>1231.6300000000001</v>
      </c>
    </row>
    <row r="108" spans="1:13" hidden="1" x14ac:dyDescent="0.35">
      <c r="A108">
        <f>'DASE DADOS - DISTANCIA'!A108</f>
        <v>4866800</v>
      </c>
      <c r="B108" t="str">
        <f>'DASE DADOS - DISTANCIA'!B108</f>
        <v>ANDERSON WEBER</v>
      </c>
      <c r="C108" t="str">
        <f>'DASE DADOS - DISTANCIA'!C108</f>
        <v xml:space="preserve"> A1</v>
      </c>
      <c r="D108" t="str">
        <f>'DASE DADOS - DISTANCIA'!E108</f>
        <v>TOLEDO</v>
      </c>
      <c r="E108" t="str">
        <f>'DASE DADOS - DISTANCIA'!I108</f>
        <v>PLUMA</v>
      </c>
      <c r="F108" s="7">
        <v>83</v>
      </c>
      <c r="G108">
        <f>'DASE DADOS - DISTANCIA'!J108</f>
        <v>166</v>
      </c>
      <c r="H108" s="2">
        <v>420</v>
      </c>
      <c r="I108" s="2" t="e">
        <f>IF(#REF!&lt;17200,DISTÂNCIA3[[#This Row],[KM PARA PAGAMENTO DOS FRETES]]*4.74,((#REF!/17200)*4.74)*DISTÂNCIA3[[#This Row],[KM PARA PAGAMENTO DOS FRETES]])</f>
        <v>#REF!</v>
      </c>
      <c r="J108" s="4">
        <f>DISTÂNCIA3[[#This Row],[Valor CTE]]/DISTÂNCIA3[[#This Row],[KM PARA PAGAMENTO DOS FRETES]]</f>
        <v>5.5662048192771083</v>
      </c>
      <c r="K108" s="6">
        <f t="shared" si="2"/>
        <v>574.41</v>
      </c>
      <c r="L108" s="6">
        <f>0.92*DISTÂNCIA3[[#This Row],[KM distancia]]*4.578</f>
        <v>349.57608000000005</v>
      </c>
      <c r="M108" s="6">
        <f t="shared" si="3"/>
        <v>923.99</v>
      </c>
    </row>
    <row r="109" spans="1:13" hidden="1" x14ac:dyDescent="0.35">
      <c r="A109">
        <f>'DASE DADOS - DISTANCIA'!A109</f>
        <v>30035</v>
      </c>
      <c r="B109" t="str">
        <f>'DASE DADOS - DISTANCIA'!B109</f>
        <v>LORI RODRIGUES</v>
      </c>
      <c r="C109" t="str">
        <f>'DASE DADOS - DISTANCIA'!C109</f>
        <v xml:space="preserve"> A1</v>
      </c>
      <c r="D109" t="str">
        <f>'DASE DADOS - DISTANCIA'!E109</f>
        <v>PÉROLA DO OESTE</v>
      </c>
      <c r="E109" t="str">
        <f>'DASE DADOS - DISTANCIA'!I109</f>
        <v>PLUSVAL</v>
      </c>
      <c r="F109" s="7">
        <v>129.5</v>
      </c>
      <c r="G109">
        <f>'DASE DADOS - DISTANCIA'!J109</f>
        <v>259</v>
      </c>
      <c r="H109" s="2">
        <v>420</v>
      </c>
      <c r="I109" s="2" t="e">
        <f>IF(#REF!&lt;17200,DISTÂNCIA3[[#This Row],[KM PARA PAGAMENTO DOS FRETES]]*4.74,((#REF!/17200)*4.74)*DISTÂNCIA3[[#This Row],[KM PARA PAGAMENTO DOS FRETES]])</f>
        <v>#REF!</v>
      </c>
      <c r="J109" s="4">
        <f>DISTÂNCIA3[[#This Row],[Valor CTE]]/DISTÂNCIA3[[#This Row],[KM PARA PAGAMENTO DOS FRETES]]</f>
        <v>5.1455984555984555</v>
      </c>
      <c r="K109" s="6">
        <f t="shared" si="2"/>
        <v>787.29</v>
      </c>
      <c r="L109" s="6">
        <f>0.92*DISTÂNCIA3[[#This Row],[KM distancia]]*4.578</f>
        <v>545.42292000000009</v>
      </c>
      <c r="M109" s="6">
        <f t="shared" si="3"/>
        <v>1332.71</v>
      </c>
    </row>
    <row r="110" spans="1:13" hidden="1" x14ac:dyDescent="0.35">
      <c r="A110">
        <f>'DASE DADOS - DISTANCIA'!A110</f>
        <v>5398096</v>
      </c>
      <c r="B110" t="str">
        <f>'DASE DADOS - DISTANCIA'!B110</f>
        <v>ANDRE CARLO VIEL</v>
      </c>
      <c r="C110" t="str">
        <f>'DASE DADOS - DISTANCIA'!C110</f>
        <v xml:space="preserve"> A3</v>
      </c>
      <c r="D110" t="str">
        <f>'DASE DADOS - DISTANCIA'!E110</f>
        <v>CASCAVEL</v>
      </c>
      <c r="E110" t="str">
        <f>'DASE DADOS - DISTANCIA'!I110</f>
        <v>PLUMA</v>
      </c>
      <c r="F110" s="7">
        <v>34</v>
      </c>
      <c r="G110">
        <f>'DASE DADOS - DISTANCIA'!J110</f>
        <v>68</v>
      </c>
      <c r="H110" s="2">
        <v>420</v>
      </c>
      <c r="I110" s="2" t="e">
        <f>IF(#REF!&lt;17200,DISTÂNCIA3[[#This Row],[KM PARA PAGAMENTO DOS FRETES]]*4.74,((#REF!/17200)*4.74)*DISTÂNCIA3[[#This Row],[KM PARA PAGAMENTO DOS FRETES]])</f>
        <v>#REF!</v>
      </c>
      <c r="J110" s="4">
        <f>DISTÂNCIA3[[#This Row],[Valor CTE]]/DISTÂNCIA3[[#This Row],[KM PARA PAGAMENTO DOS FRETES]]</f>
        <v>7.2542647058823535</v>
      </c>
      <c r="K110" s="6">
        <f t="shared" si="2"/>
        <v>350.09</v>
      </c>
      <c r="L110" s="6">
        <f>0.92*DISTÂNCIA3[[#This Row],[KM distancia]]*4.578</f>
        <v>143.19984000000002</v>
      </c>
      <c r="M110" s="6">
        <f t="shared" si="3"/>
        <v>493.29</v>
      </c>
    </row>
    <row r="111" spans="1:13" hidden="1" x14ac:dyDescent="0.35">
      <c r="A111">
        <f>'DASE DADOS - DISTANCIA'!A111</f>
        <v>6122736</v>
      </c>
      <c r="B111" t="str">
        <f>'DASE DADOS - DISTANCIA'!B111</f>
        <v>DIRCEU VIDAL FARIAS</v>
      </c>
      <c r="C111" t="str">
        <f>'DASE DADOS - DISTANCIA'!C111</f>
        <v>A1</v>
      </c>
      <c r="D111" t="str">
        <f>'DASE DADOS - DISTANCIA'!E111</f>
        <v>CASCAVEL</v>
      </c>
      <c r="E111" t="str">
        <f>'DASE DADOS - DISTANCIA'!I111</f>
        <v>PLUMA</v>
      </c>
      <c r="F111" s="7">
        <v>40</v>
      </c>
      <c r="G111">
        <f>'DASE DADOS - DISTANCIA'!J111</f>
        <v>80</v>
      </c>
      <c r="H111" s="2">
        <v>420</v>
      </c>
      <c r="I111" s="2" t="e">
        <f>IF(#REF!&lt;17200,DISTÂNCIA3[[#This Row],[KM PARA PAGAMENTO DOS FRETES]]*4.74,((#REF!/17200)*4.74)*DISTÂNCIA3[[#This Row],[KM PARA PAGAMENTO DOS FRETES]])</f>
        <v>#REF!</v>
      </c>
      <c r="J111" s="4">
        <f>DISTÂNCIA3[[#This Row],[Valor CTE]]/DISTÂNCIA3[[#This Row],[KM PARA PAGAMENTO DOS FRETES]]</f>
        <v>6.8253749999999993</v>
      </c>
      <c r="K111" s="6">
        <f t="shared" si="2"/>
        <v>377.56</v>
      </c>
      <c r="L111" s="6">
        <f>0.92*DISTÂNCIA3[[#This Row],[KM distancia]]*4.578</f>
        <v>168.47040000000004</v>
      </c>
      <c r="M111" s="6">
        <f t="shared" si="3"/>
        <v>546.03</v>
      </c>
    </row>
    <row r="112" spans="1:13" hidden="1" x14ac:dyDescent="0.35">
      <c r="A112">
        <f>'DASE DADOS - DISTANCIA'!A112</f>
        <v>5398096</v>
      </c>
      <c r="B112" t="str">
        <f>'DASE DADOS - DISTANCIA'!B112</f>
        <v>ANDRE CARLO VIEL</v>
      </c>
      <c r="C112" t="str">
        <f>'DASE DADOS - DISTANCIA'!C112</f>
        <v xml:space="preserve"> A2</v>
      </c>
      <c r="D112" t="str">
        <f>'DASE DADOS - DISTANCIA'!E112</f>
        <v>CASCAVEL</v>
      </c>
      <c r="E112" t="str">
        <f>'DASE DADOS - DISTANCIA'!I112</f>
        <v>PLUMA</v>
      </c>
      <c r="F112" s="7">
        <v>34</v>
      </c>
      <c r="G112">
        <f>'DASE DADOS - DISTANCIA'!J112</f>
        <v>68</v>
      </c>
      <c r="H112" s="2">
        <v>420</v>
      </c>
      <c r="I112" s="2" t="e">
        <f>IF(#REF!&lt;17200,DISTÂNCIA3[[#This Row],[KM PARA PAGAMENTO DOS FRETES]]*4.74,((#REF!/17200)*4.74)*DISTÂNCIA3[[#This Row],[KM PARA PAGAMENTO DOS FRETES]])</f>
        <v>#REF!</v>
      </c>
      <c r="J112" s="4">
        <f>DISTÂNCIA3[[#This Row],[Valor CTE]]/DISTÂNCIA3[[#This Row],[KM PARA PAGAMENTO DOS FRETES]]</f>
        <v>7.2542647058823535</v>
      </c>
      <c r="K112" s="6">
        <f t="shared" si="2"/>
        <v>350.09</v>
      </c>
      <c r="L112" s="6">
        <f>0.92*DISTÂNCIA3[[#This Row],[KM distancia]]*4.578</f>
        <v>143.19984000000002</v>
      </c>
      <c r="M112" s="6">
        <f t="shared" si="3"/>
        <v>493.29</v>
      </c>
    </row>
    <row r="113" spans="1:13" hidden="1" x14ac:dyDescent="0.35">
      <c r="A113">
        <f>'DASE DADOS - DISTANCIA'!A113</f>
        <v>30056</v>
      </c>
      <c r="B113" t="str">
        <f>'DASE DADOS - DISTANCIA'!B113</f>
        <v>NELSON HEIN</v>
      </c>
      <c r="C113" t="str">
        <f>'DASE DADOS - DISTANCIA'!C113</f>
        <v xml:space="preserve"> A1</v>
      </c>
      <c r="D113" t="str">
        <f>'DASE DADOS - DISTANCIA'!E113</f>
        <v>PÉROLA DO OESTE</v>
      </c>
      <c r="E113" t="str">
        <f>'DASE DADOS - DISTANCIA'!I113</f>
        <v>PLUSVAL</v>
      </c>
      <c r="F113" s="7">
        <v>128.5</v>
      </c>
      <c r="G113">
        <f>'DASE DADOS - DISTANCIA'!J113</f>
        <v>257</v>
      </c>
      <c r="H113" s="2">
        <v>420</v>
      </c>
      <c r="I113" s="2" t="e">
        <f>IF(#REF!&lt;17200,DISTÂNCIA3[[#This Row],[KM PARA PAGAMENTO DOS FRETES]]*4.74,((#REF!/17200)*4.74)*DISTÂNCIA3[[#This Row],[KM PARA PAGAMENTO DOS FRETES]])</f>
        <v>#REF!</v>
      </c>
      <c r="J113" s="4">
        <f>DISTÂNCIA3[[#This Row],[Valor CTE]]/DISTÂNCIA3[[#This Row],[KM PARA PAGAMENTO DOS FRETES]]</f>
        <v>5.1514396887159535</v>
      </c>
      <c r="K113" s="6">
        <f t="shared" si="2"/>
        <v>782.71</v>
      </c>
      <c r="L113" s="6">
        <f>0.92*DISTÂNCIA3[[#This Row],[KM distancia]]*4.578</f>
        <v>541.21116000000006</v>
      </c>
      <c r="M113" s="6">
        <f t="shared" si="3"/>
        <v>1323.92</v>
      </c>
    </row>
    <row r="114" spans="1:13" hidden="1" x14ac:dyDescent="0.35">
      <c r="A114">
        <f>'DASE DADOS - DISTANCIA'!A114</f>
        <v>5398096</v>
      </c>
      <c r="B114" t="str">
        <f>'DASE DADOS - DISTANCIA'!B114</f>
        <v>ANDRE CARLO VIEL</v>
      </c>
      <c r="C114" t="str">
        <f>'DASE DADOS - DISTANCIA'!C114</f>
        <v xml:space="preserve"> A1</v>
      </c>
      <c r="D114" t="str">
        <f>'DASE DADOS - DISTANCIA'!E114</f>
        <v>CASCAVEL</v>
      </c>
      <c r="E114" t="str">
        <f>'DASE DADOS - DISTANCIA'!I114</f>
        <v>PLUMA</v>
      </c>
      <c r="F114" s="7">
        <v>34</v>
      </c>
      <c r="G114">
        <f>'DASE DADOS - DISTANCIA'!J114</f>
        <v>68</v>
      </c>
      <c r="H114" s="2">
        <v>420</v>
      </c>
      <c r="I114" s="2" t="e">
        <f>IF(#REF!&lt;17200,DISTÂNCIA3[[#This Row],[KM PARA PAGAMENTO DOS FRETES]]*4.74,((#REF!/17200)*4.74)*DISTÂNCIA3[[#This Row],[KM PARA PAGAMENTO DOS FRETES]])</f>
        <v>#REF!</v>
      </c>
      <c r="J114" s="4">
        <f>DISTÂNCIA3[[#This Row],[Valor CTE]]/DISTÂNCIA3[[#This Row],[KM PARA PAGAMENTO DOS FRETES]]</f>
        <v>7.2542647058823535</v>
      </c>
      <c r="K114" s="6">
        <f t="shared" si="2"/>
        <v>350.09</v>
      </c>
      <c r="L114" s="6">
        <f>0.92*DISTÂNCIA3[[#This Row],[KM distancia]]*4.578</f>
        <v>143.19984000000002</v>
      </c>
      <c r="M114" s="6">
        <f t="shared" si="3"/>
        <v>493.29</v>
      </c>
    </row>
    <row r="115" spans="1:13" hidden="1" x14ac:dyDescent="0.35">
      <c r="A115">
        <f>'DASE DADOS - DISTANCIA'!A115</f>
        <v>51882</v>
      </c>
      <c r="B115" t="str">
        <f>'DASE DADOS - DISTANCIA'!B115</f>
        <v>OSNI MOCELIN</v>
      </c>
      <c r="C115" t="str">
        <f>'DASE DADOS - DISTANCIA'!C115</f>
        <v xml:space="preserve"> A1</v>
      </c>
      <c r="D115" t="str">
        <f>'DASE DADOS - DISTANCIA'!E115</f>
        <v>TRÊS BARRAS DO PARANÁ</v>
      </c>
      <c r="E115" t="str">
        <f>'DASE DADOS - DISTANCIA'!I115</f>
        <v>PLUSVAL</v>
      </c>
      <c r="F115" s="7">
        <v>111</v>
      </c>
      <c r="G115">
        <f>'DASE DADOS - DISTANCIA'!J115</f>
        <v>222</v>
      </c>
      <c r="H115" s="2">
        <v>420</v>
      </c>
      <c r="I115" s="2" t="e">
        <f>IF(#REF!&lt;17200,DISTÂNCIA3[[#This Row],[KM PARA PAGAMENTO DOS FRETES]]*4.74,((#REF!/17200)*4.74)*DISTÂNCIA3[[#This Row],[KM PARA PAGAMENTO DOS FRETES]])</f>
        <v>#REF!</v>
      </c>
      <c r="J115" s="4">
        <f>DISTÂNCIA3[[#This Row],[Valor CTE]]/DISTÂNCIA3[[#This Row],[KM PARA PAGAMENTO DOS FRETES]]</f>
        <v>5.2707207207207203</v>
      </c>
      <c r="K115" s="6">
        <f t="shared" si="2"/>
        <v>702.6</v>
      </c>
      <c r="L115" s="6">
        <f>0.92*DISTÂNCIA3[[#This Row],[KM distancia]]*4.578</f>
        <v>467.50536000000005</v>
      </c>
      <c r="M115" s="6">
        <f t="shared" si="3"/>
        <v>1170.0999999999999</v>
      </c>
    </row>
    <row r="116" spans="1:13" hidden="1" x14ac:dyDescent="0.35">
      <c r="A116">
        <f>'DASE DADOS - DISTANCIA'!A116</f>
        <v>0</v>
      </c>
      <c r="B116" t="str">
        <f>'DASE DADOS - DISTANCIA'!B116</f>
        <v>ANDERSON DIEDRICHS</v>
      </c>
      <c r="C116" t="str">
        <f>'DASE DADOS - DISTANCIA'!C116</f>
        <v xml:space="preserve"> A2</v>
      </c>
      <c r="D116" t="str">
        <f>'DASE DADOS - DISTANCIA'!E116</f>
        <v>TOLEDO</v>
      </c>
      <c r="E116" t="str">
        <f>'DASE DADOS - DISTANCIA'!I116</f>
        <v>PLUMA</v>
      </c>
      <c r="F116" s="7">
        <v>77.5</v>
      </c>
      <c r="G116">
        <f>'DASE DADOS - DISTANCIA'!J116</f>
        <v>155</v>
      </c>
      <c r="H116" s="2">
        <v>420</v>
      </c>
      <c r="I116" s="2" t="e">
        <f>IF(#REF!&lt;17200,DISTÂNCIA3[[#This Row],[KM PARA PAGAMENTO DOS FRETES]]*4.74,((#REF!/17200)*4.74)*DISTÂNCIA3[[#This Row],[KM PARA PAGAMENTO DOS FRETES]])</f>
        <v>#REF!</v>
      </c>
      <c r="J116" s="4">
        <f>DISTÂNCIA3[[#This Row],[Valor CTE]]/DISTÂNCIA3[[#This Row],[KM PARA PAGAMENTO DOS FRETES]]</f>
        <v>5.6493548387096775</v>
      </c>
      <c r="K116" s="6">
        <f t="shared" si="2"/>
        <v>549.24</v>
      </c>
      <c r="L116" s="6">
        <f>0.92*DISTÂNCIA3[[#This Row],[KM distancia]]*4.578</f>
        <v>326.41140000000001</v>
      </c>
      <c r="M116" s="6">
        <f t="shared" si="3"/>
        <v>875.65</v>
      </c>
    </row>
    <row r="117" spans="1:13" hidden="1" x14ac:dyDescent="0.35">
      <c r="A117">
        <f>'DASE DADOS - DISTANCIA'!A117</f>
        <v>30044</v>
      </c>
      <c r="B117" t="str">
        <f>'DASE DADOS - DISTANCIA'!B117</f>
        <v>ANTONIO CANDIDO</v>
      </c>
      <c r="C117" t="str">
        <f>'DASE DADOS - DISTANCIA'!C117</f>
        <v xml:space="preserve"> A1</v>
      </c>
      <c r="D117" t="str">
        <f>'DASE DADOS - DISTANCIA'!E117</f>
        <v>PÉROLA DO OESTE</v>
      </c>
      <c r="E117" t="str">
        <f>'DASE DADOS - DISTANCIA'!I117</f>
        <v>PLUSVAL</v>
      </c>
      <c r="F117" s="7">
        <v>126.5</v>
      </c>
      <c r="G117">
        <f>'DASE DADOS - DISTANCIA'!J117</f>
        <v>253</v>
      </c>
      <c r="H117" s="2">
        <v>420</v>
      </c>
      <c r="I117" s="2" t="e">
        <f>IF(#REF!&lt;17200,DISTÂNCIA3[[#This Row],[KM PARA PAGAMENTO DOS FRETES]]*4.74,((#REF!/17200)*4.74)*DISTÂNCIA3[[#This Row],[KM PARA PAGAMENTO DOS FRETES]])</f>
        <v>#REF!</v>
      </c>
      <c r="J117" s="4">
        <f>DISTÂNCIA3[[#This Row],[Valor CTE]]/DISTÂNCIA3[[#This Row],[KM PARA PAGAMENTO DOS FRETES]]</f>
        <v>5.1633992094861654</v>
      </c>
      <c r="K117" s="6">
        <f t="shared" si="2"/>
        <v>773.56</v>
      </c>
      <c r="L117" s="6">
        <f>0.92*DISTÂNCIA3[[#This Row],[KM distancia]]*4.578</f>
        <v>532.78764000000012</v>
      </c>
      <c r="M117" s="6">
        <f t="shared" si="3"/>
        <v>1306.3399999999999</v>
      </c>
    </row>
    <row r="118" spans="1:13" hidden="1" x14ac:dyDescent="0.35">
      <c r="A118">
        <f>'DASE DADOS - DISTANCIA'!A118</f>
        <v>0</v>
      </c>
      <c r="B118" t="str">
        <f>'DASE DADOS - DISTANCIA'!B118</f>
        <v>ANDERSON DIEDRICHS</v>
      </c>
      <c r="C118" t="str">
        <f>'DASE DADOS - DISTANCIA'!C118</f>
        <v xml:space="preserve"> A1</v>
      </c>
      <c r="D118" t="str">
        <f>'DASE DADOS - DISTANCIA'!E118</f>
        <v>TOLEDO</v>
      </c>
      <c r="E118" t="str">
        <f>'DASE DADOS - DISTANCIA'!I118</f>
        <v>PLUMA</v>
      </c>
      <c r="F118" s="7">
        <v>77.5</v>
      </c>
      <c r="G118">
        <f>'DASE DADOS - DISTANCIA'!J118</f>
        <v>155</v>
      </c>
      <c r="H118" s="2">
        <v>420</v>
      </c>
      <c r="I118" s="2" t="e">
        <f>IF(#REF!&lt;17200,DISTÂNCIA3[[#This Row],[KM PARA PAGAMENTO DOS FRETES]]*4.74,((#REF!/17200)*4.74)*DISTÂNCIA3[[#This Row],[KM PARA PAGAMENTO DOS FRETES]])</f>
        <v>#REF!</v>
      </c>
      <c r="J118" s="4">
        <f>DISTÂNCIA3[[#This Row],[Valor CTE]]/DISTÂNCIA3[[#This Row],[KM PARA PAGAMENTO DOS FRETES]]</f>
        <v>5.6493548387096775</v>
      </c>
      <c r="K118" s="6">
        <f t="shared" si="2"/>
        <v>549.24</v>
      </c>
      <c r="L118" s="6">
        <f>0.92*DISTÂNCIA3[[#This Row],[KM distancia]]*4.578</f>
        <v>326.41140000000001</v>
      </c>
      <c r="M118" s="6">
        <f t="shared" si="3"/>
        <v>875.65</v>
      </c>
    </row>
    <row r="119" spans="1:13" hidden="1" x14ac:dyDescent="0.35">
      <c r="A119">
        <f>'DASE DADOS - DISTANCIA'!A119</f>
        <v>0</v>
      </c>
      <c r="B119" t="str">
        <f>'DASE DADOS - DISTANCIA'!B119</f>
        <v>EDUARDO DE SOUZA RIBEIRO</v>
      </c>
      <c r="C119" t="str">
        <f>'DASE DADOS - DISTANCIA'!C119</f>
        <v xml:space="preserve"> A1</v>
      </c>
      <c r="D119" t="str">
        <f>'DASE DADOS - DISTANCIA'!E119</f>
        <v>TUPASSI</v>
      </c>
      <c r="E119" t="str">
        <f>'DASE DADOS - DISTANCIA'!I119</f>
        <v>PLUMA</v>
      </c>
      <c r="F119" s="7">
        <v>54</v>
      </c>
      <c r="G119">
        <f>'DASE DADOS - DISTANCIA'!J119</f>
        <v>108</v>
      </c>
      <c r="H119" s="2">
        <v>420</v>
      </c>
      <c r="I119" s="2" t="e">
        <f>IF(#REF!&lt;17200,DISTÂNCIA3[[#This Row],[KM PARA PAGAMENTO DOS FRETES]]*4.74,((#REF!/17200)*4.74)*DISTÂNCIA3[[#This Row],[KM PARA PAGAMENTO DOS FRETES]])</f>
        <v>#REF!</v>
      </c>
      <c r="J119" s="4">
        <f>DISTÂNCIA3[[#This Row],[Valor CTE]]/DISTÂNCIA3[[#This Row],[KM PARA PAGAMENTO DOS FRETES]]</f>
        <v>6.1952777777777781</v>
      </c>
      <c r="K119" s="6">
        <f t="shared" si="2"/>
        <v>441.65</v>
      </c>
      <c r="L119" s="6">
        <f>0.92*DISTÂNCIA3[[#This Row],[KM distancia]]*4.578</f>
        <v>227.43504000000001</v>
      </c>
      <c r="M119" s="6">
        <f t="shared" si="3"/>
        <v>669.09</v>
      </c>
    </row>
    <row r="120" spans="1:13" hidden="1" x14ac:dyDescent="0.35">
      <c r="A120">
        <f>'DASE DADOS - DISTANCIA'!A120</f>
        <v>30451</v>
      </c>
      <c r="B120" t="str">
        <f>'DASE DADOS - DISTANCIA'!B120</f>
        <v>ANDRE CHARLES EBERT</v>
      </c>
      <c r="C120" t="str">
        <f>'DASE DADOS - DISTANCIA'!C120</f>
        <v xml:space="preserve"> A1</v>
      </c>
      <c r="D120" t="str">
        <f>'DASE DADOS - DISTANCIA'!E120</f>
        <v>CAPANEMA</v>
      </c>
      <c r="E120" t="str">
        <f>'DASE DADOS - DISTANCIA'!I120</f>
        <v>PLUSVAL</v>
      </c>
      <c r="F120" s="7">
        <v>129.5</v>
      </c>
      <c r="G120">
        <f>'DASE DADOS - DISTANCIA'!J120</f>
        <v>259</v>
      </c>
      <c r="H120" s="2">
        <v>420</v>
      </c>
      <c r="I120" s="2" t="e">
        <f>IF(#REF!&lt;17200,DISTÂNCIA3[[#This Row],[KM PARA PAGAMENTO DOS FRETES]]*4.74,((#REF!/17200)*4.74)*DISTÂNCIA3[[#This Row],[KM PARA PAGAMENTO DOS FRETES]])</f>
        <v>#REF!</v>
      </c>
      <c r="J120" s="4">
        <f>DISTÂNCIA3[[#This Row],[Valor CTE]]/DISTÂNCIA3[[#This Row],[KM PARA PAGAMENTO DOS FRETES]]</f>
        <v>5.1455984555984555</v>
      </c>
      <c r="K120" s="6">
        <f t="shared" si="2"/>
        <v>787.29</v>
      </c>
      <c r="L120" s="6">
        <f>0.92*DISTÂNCIA3[[#This Row],[KM distancia]]*4.578</f>
        <v>545.42292000000009</v>
      </c>
      <c r="M120" s="6">
        <f t="shared" si="3"/>
        <v>1332.71</v>
      </c>
    </row>
    <row r="121" spans="1:13" hidden="1" x14ac:dyDescent="0.35">
      <c r="A121">
        <f>'DASE DADOS - DISTANCIA'!A121</f>
        <v>0</v>
      </c>
      <c r="B121" t="str">
        <f>'DASE DADOS - DISTANCIA'!B121</f>
        <v>EDUARDO DE SOUZA RIBEIRO</v>
      </c>
      <c r="C121" t="str">
        <f>'DASE DADOS - DISTANCIA'!C121</f>
        <v xml:space="preserve"> A2</v>
      </c>
      <c r="D121" t="str">
        <f>'DASE DADOS - DISTANCIA'!E121</f>
        <v>TUPASSI</v>
      </c>
      <c r="E121" t="str">
        <f>'DASE DADOS - DISTANCIA'!I121</f>
        <v>PLUMA</v>
      </c>
      <c r="F121" s="7">
        <v>54</v>
      </c>
      <c r="G121">
        <f>'DASE DADOS - DISTANCIA'!J121</f>
        <v>108</v>
      </c>
      <c r="H121" s="2">
        <v>420</v>
      </c>
      <c r="I121" s="2" t="e">
        <f>IF(#REF!&lt;17200,DISTÂNCIA3[[#This Row],[KM PARA PAGAMENTO DOS FRETES]]*4.74,((#REF!/17200)*4.74)*DISTÂNCIA3[[#This Row],[KM PARA PAGAMENTO DOS FRETES]])</f>
        <v>#REF!</v>
      </c>
      <c r="J121" s="4">
        <f>DISTÂNCIA3[[#This Row],[Valor CTE]]/DISTÂNCIA3[[#This Row],[KM PARA PAGAMENTO DOS FRETES]]</f>
        <v>6.1952777777777781</v>
      </c>
      <c r="K121" s="6">
        <f t="shared" si="2"/>
        <v>441.65</v>
      </c>
      <c r="L121" s="6">
        <f>0.92*DISTÂNCIA3[[#This Row],[KM distancia]]*4.578</f>
        <v>227.43504000000001</v>
      </c>
      <c r="M121" s="6">
        <f t="shared" si="3"/>
        <v>669.09</v>
      </c>
    </row>
    <row r="122" spans="1:13" hidden="1" x14ac:dyDescent="0.35">
      <c r="A122">
        <f>'DASE DADOS - DISTANCIA'!A122</f>
        <v>30045</v>
      </c>
      <c r="B122" t="str">
        <f>'DASE DADOS - DISTANCIA'!B122</f>
        <v>ANDRE LUIZ AHMANN</v>
      </c>
      <c r="C122" t="str">
        <f>'DASE DADOS - DISTANCIA'!C122</f>
        <v xml:space="preserve"> A1</v>
      </c>
      <c r="D122" t="str">
        <f>'DASE DADOS - DISTANCIA'!E122</f>
        <v>CAPANEMA</v>
      </c>
      <c r="E122" t="str">
        <f>'DASE DADOS - DISTANCIA'!I122</f>
        <v>PLUSVAL</v>
      </c>
      <c r="F122" s="7">
        <v>128</v>
      </c>
      <c r="G122">
        <f>'DASE DADOS - DISTANCIA'!J122</f>
        <v>256</v>
      </c>
      <c r="H122" s="2">
        <v>420</v>
      </c>
      <c r="I122" s="2" t="e">
        <f>IF(#REF!&lt;17200,DISTÂNCIA3[[#This Row],[KM PARA PAGAMENTO DOS FRETES]]*4.74,((#REF!/17200)*4.74)*DISTÂNCIA3[[#This Row],[KM PARA PAGAMENTO DOS FRETES]])</f>
        <v>#REF!</v>
      </c>
      <c r="J122" s="4">
        <f>DISTÂNCIA3[[#This Row],[Valor CTE]]/DISTÂNCIA3[[#This Row],[KM PARA PAGAMENTO DOS FRETES]]</f>
        <v>5.1544140624999999</v>
      </c>
      <c r="K122" s="6">
        <f t="shared" si="2"/>
        <v>780.42</v>
      </c>
      <c r="L122" s="6">
        <f>0.92*DISTÂNCIA3[[#This Row],[KM distancia]]*4.578</f>
        <v>539.10528000000011</v>
      </c>
      <c r="M122" s="6">
        <f t="shared" si="3"/>
        <v>1319.53</v>
      </c>
    </row>
    <row r="123" spans="1:13" hidden="1" x14ac:dyDescent="0.35">
      <c r="A123">
        <f>'DASE DADOS - DISTANCIA'!A123</f>
        <v>0</v>
      </c>
      <c r="B123" t="str">
        <f>'DASE DADOS - DISTANCIA'!B123</f>
        <v>EDUARDO DE SOUZA RIBEIRO</v>
      </c>
      <c r="C123" t="str">
        <f>'DASE DADOS - DISTANCIA'!C123</f>
        <v xml:space="preserve"> A3</v>
      </c>
      <c r="D123" t="str">
        <f>'DASE DADOS - DISTANCIA'!E123</f>
        <v>TUPASSI</v>
      </c>
      <c r="E123" t="str">
        <f>'DASE DADOS - DISTANCIA'!I123</f>
        <v>PLUMA</v>
      </c>
      <c r="F123" s="7">
        <v>54</v>
      </c>
      <c r="G123">
        <f>'DASE DADOS - DISTANCIA'!J123</f>
        <v>108</v>
      </c>
      <c r="H123" s="2">
        <v>420</v>
      </c>
      <c r="I123" s="2" t="e">
        <f>IF(#REF!&lt;17200,DISTÂNCIA3[[#This Row],[KM PARA PAGAMENTO DOS FRETES]]*4.74,((#REF!/17200)*4.74)*DISTÂNCIA3[[#This Row],[KM PARA PAGAMENTO DOS FRETES]])</f>
        <v>#REF!</v>
      </c>
      <c r="J123" s="4">
        <f>DISTÂNCIA3[[#This Row],[Valor CTE]]/DISTÂNCIA3[[#This Row],[KM PARA PAGAMENTO DOS FRETES]]</f>
        <v>6.1952777777777781</v>
      </c>
      <c r="K123" s="6">
        <f t="shared" si="2"/>
        <v>441.65</v>
      </c>
      <c r="L123" s="6">
        <f>0.92*DISTÂNCIA3[[#This Row],[KM distancia]]*4.578</f>
        <v>227.43504000000001</v>
      </c>
      <c r="M123" s="6">
        <f t="shared" si="3"/>
        <v>669.09</v>
      </c>
    </row>
    <row r="124" spans="1:13" hidden="1" x14ac:dyDescent="0.35">
      <c r="A124">
        <f>'DASE DADOS - DISTANCIA'!A124</f>
        <v>5979315</v>
      </c>
      <c r="B124" t="str">
        <f>'DASE DADOS - DISTANCIA'!B124</f>
        <v>ANDRESSA MAIARA ZUANAZZI</v>
      </c>
      <c r="C124" t="str">
        <f>'DASE DADOS - DISTANCIA'!C124</f>
        <v xml:space="preserve"> A1</v>
      </c>
      <c r="D124" t="str">
        <f>'DASE DADOS - DISTANCIA'!E124</f>
        <v>NOVA SANTA ROSA</v>
      </c>
      <c r="E124" t="str">
        <f>'DASE DADOS - DISTANCIA'!I124</f>
        <v>PLUMA</v>
      </c>
      <c r="F124" s="7">
        <v>94</v>
      </c>
      <c r="G124">
        <f>'DASE DADOS - DISTANCIA'!J124</f>
        <v>188</v>
      </c>
      <c r="H124" s="2">
        <v>420</v>
      </c>
      <c r="I124" s="2" t="e">
        <f>IF(#REF!&lt;17200,DISTÂNCIA3[[#This Row],[KM PARA PAGAMENTO DOS FRETES]]*4.74,((#REF!/17200)*4.74)*DISTÂNCIA3[[#This Row],[KM PARA PAGAMENTO DOS FRETES]])</f>
        <v>#REF!</v>
      </c>
      <c r="J124" s="4">
        <f>DISTÂNCIA3[[#This Row],[Valor CTE]]/DISTÂNCIA3[[#This Row],[KM PARA PAGAMENTO DOS FRETES]]</f>
        <v>5.4291489361702121</v>
      </c>
      <c r="K124" s="6">
        <f t="shared" si="2"/>
        <v>624.77</v>
      </c>
      <c r="L124" s="6">
        <f>0.92*DISTÂNCIA3[[#This Row],[KM distancia]]*4.578</f>
        <v>395.90544000000006</v>
      </c>
      <c r="M124" s="6">
        <f t="shared" si="3"/>
        <v>1020.68</v>
      </c>
    </row>
    <row r="125" spans="1:13" hidden="1" x14ac:dyDescent="0.35">
      <c r="A125">
        <f>'DASE DADOS - DISTANCIA'!A125</f>
        <v>1159976</v>
      </c>
      <c r="B125" t="str">
        <f>'DASE DADOS - DISTANCIA'!B125</f>
        <v>ELENIR IZALETE KEIBER DE OLIVEIRA</v>
      </c>
      <c r="C125" t="str">
        <f>'DASE DADOS - DISTANCIA'!C125</f>
        <v xml:space="preserve"> A1</v>
      </c>
      <c r="D125" t="str">
        <f>'DASE DADOS - DISTANCIA'!E125</f>
        <v>CAPANEMA</v>
      </c>
      <c r="E125" t="str">
        <f>'DASE DADOS - DISTANCIA'!I125</f>
        <v>PLUSVAL</v>
      </c>
      <c r="F125" s="7">
        <v>103.5</v>
      </c>
      <c r="G125">
        <f>'DASE DADOS - DISTANCIA'!J125</f>
        <v>207</v>
      </c>
      <c r="H125" s="2">
        <v>420</v>
      </c>
      <c r="I125" s="2" t="e">
        <f>IF(#REF!&lt;17200,DISTÂNCIA3[[#This Row],[KM PARA PAGAMENTO DOS FRETES]]*4.74,((#REF!/17200)*4.74)*DISTÂNCIA3[[#This Row],[KM PARA PAGAMENTO DOS FRETES]])</f>
        <v>#REF!</v>
      </c>
      <c r="J125" s="4">
        <f>DISTÂNCIA3[[#This Row],[Valor CTE]]/DISTÂNCIA3[[#This Row],[KM PARA PAGAMENTO DOS FRETES]]</f>
        <v>5.3342028985507248</v>
      </c>
      <c r="K125" s="6">
        <f t="shared" si="2"/>
        <v>668.26</v>
      </c>
      <c r="L125" s="6">
        <f>0.92*DISTÂNCIA3[[#This Row],[KM distancia]]*4.578</f>
        <v>435.91716000000002</v>
      </c>
      <c r="M125" s="6">
        <f t="shared" si="3"/>
        <v>1104.18</v>
      </c>
    </row>
    <row r="126" spans="1:13" hidden="1" x14ac:dyDescent="0.35">
      <c r="A126">
        <f>'DASE DADOS - DISTANCIA'!A126</f>
        <v>5979315</v>
      </c>
      <c r="B126" t="str">
        <f>'DASE DADOS - DISTANCIA'!B126</f>
        <v>ANDRESSA MAIARA ZUANAZZI</v>
      </c>
      <c r="C126" t="str">
        <f>'DASE DADOS - DISTANCIA'!C126</f>
        <v xml:space="preserve"> A2</v>
      </c>
      <c r="D126" t="str">
        <f>'DASE DADOS - DISTANCIA'!E126</f>
        <v>NOVA SANTA ROSA</v>
      </c>
      <c r="E126" t="str">
        <f>'DASE DADOS - DISTANCIA'!I126</f>
        <v>PLUMA</v>
      </c>
      <c r="F126" s="7">
        <v>94</v>
      </c>
      <c r="G126">
        <f>'DASE DADOS - DISTANCIA'!J126</f>
        <v>188</v>
      </c>
      <c r="H126" s="2">
        <v>420</v>
      </c>
      <c r="I126" s="2" t="e">
        <f>IF(#REF!&lt;17200,DISTÂNCIA3[[#This Row],[KM PARA PAGAMENTO DOS FRETES]]*4.74,((#REF!/17200)*4.74)*DISTÂNCIA3[[#This Row],[KM PARA PAGAMENTO DOS FRETES]])</f>
        <v>#REF!</v>
      </c>
      <c r="J126" s="4">
        <f>DISTÂNCIA3[[#This Row],[Valor CTE]]/DISTÂNCIA3[[#This Row],[KM PARA PAGAMENTO DOS FRETES]]</f>
        <v>5.4291489361702121</v>
      </c>
      <c r="K126" s="6">
        <f t="shared" si="2"/>
        <v>624.77</v>
      </c>
      <c r="L126" s="6">
        <f>0.92*DISTÂNCIA3[[#This Row],[KM distancia]]*4.578</f>
        <v>395.90544000000006</v>
      </c>
      <c r="M126" s="6">
        <f t="shared" si="3"/>
        <v>1020.68</v>
      </c>
    </row>
    <row r="127" spans="1:13" hidden="1" x14ac:dyDescent="0.35">
      <c r="A127">
        <f>'DASE DADOS - DISTANCIA'!A127</f>
        <v>30342</v>
      </c>
      <c r="B127" t="str">
        <f>'DASE DADOS - DISTANCIA'!B127</f>
        <v>EVE CARLA DAL BO</v>
      </c>
      <c r="C127" t="str">
        <f>'DASE DADOS - DISTANCIA'!C127</f>
        <v xml:space="preserve"> A6</v>
      </c>
      <c r="D127" t="str">
        <f>'DASE DADOS - DISTANCIA'!E127</f>
        <v>PRANCHITA</v>
      </c>
      <c r="E127" t="str">
        <f>'DASE DADOS - DISTANCIA'!I127</f>
        <v>PLUSVAL</v>
      </c>
      <c r="F127" s="7">
        <v>155</v>
      </c>
      <c r="G127">
        <f>'DASE DADOS - DISTANCIA'!J127</f>
        <v>310</v>
      </c>
      <c r="H127" s="2">
        <v>420</v>
      </c>
      <c r="I127" s="2" t="e">
        <f>IF(#REF!&lt;17200,DISTÂNCIA3[[#This Row],[KM PARA PAGAMENTO DOS FRETES]]*4.74,((#REF!/17200)*4.74)*DISTÂNCIA3[[#This Row],[KM PARA PAGAMENTO DOS FRETES]])</f>
        <v>#REF!</v>
      </c>
      <c r="J127" s="4">
        <f>DISTÂNCIA3[[#This Row],[Valor CTE]]/DISTÂNCIA3[[#This Row],[KM PARA PAGAMENTO DOS FRETES]]</f>
        <v>5.0220967741935478</v>
      </c>
      <c r="K127" s="6">
        <f t="shared" si="2"/>
        <v>904.03</v>
      </c>
      <c r="L127" s="6">
        <f>0.92*DISTÂNCIA3[[#This Row],[KM distancia]]*4.578</f>
        <v>652.82280000000003</v>
      </c>
      <c r="M127" s="6">
        <f t="shared" si="3"/>
        <v>1556.85</v>
      </c>
    </row>
    <row r="128" spans="1:13" hidden="1" x14ac:dyDescent="0.35">
      <c r="A128">
        <f>'DASE DADOS - DISTANCIA'!A128</f>
        <v>5979315</v>
      </c>
      <c r="B128" t="str">
        <f>'DASE DADOS - DISTANCIA'!B128</f>
        <v>ANDRESSA MAIARA ZUANAZZI</v>
      </c>
      <c r="C128" t="str">
        <f>'DASE DADOS - DISTANCIA'!C128</f>
        <v xml:space="preserve"> A3</v>
      </c>
      <c r="D128" t="str">
        <f>'DASE DADOS - DISTANCIA'!E128</f>
        <v>NOVA SANTA ROSA</v>
      </c>
      <c r="E128" t="str">
        <f>'DASE DADOS - DISTANCIA'!I128</f>
        <v>PLUMA</v>
      </c>
      <c r="F128" s="7">
        <v>94</v>
      </c>
      <c r="G128">
        <f>'DASE DADOS - DISTANCIA'!J128</f>
        <v>188</v>
      </c>
      <c r="H128" s="2">
        <v>420</v>
      </c>
      <c r="I128" s="2" t="e">
        <f>IF(#REF!&lt;17200,DISTÂNCIA3[[#This Row],[KM PARA PAGAMENTO DOS FRETES]]*4.74,((#REF!/17200)*4.74)*DISTÂNCIA3[[#This Row],[KM PARA PAGAMENTO DOS FRETES]])</f>
        <v>#REF!</v>
      </c>
      <c r="J128" s="4">
        <f>DISTÂNCIA3[[#This Row],[Valor CTE]]/DISTÂNCIA3[[#This Row],[KM PARA PAGAMENTO DOS FRETES]]</f>
        <v>5.4291489361702121</v>
      </c>
      <c r="K128" s="6">
        <f t="shared" si="2"/>
        <v>624.77</v>
      </c>
      <c r="L128" s="6">
        <f>0.92*DISTÂNCIA3[[#This Row],[KM distancia]]*4.578</f>
        <v>395.90544000000006</v>
      </c>
      <c r="M128" s="6">
        <f t="shared" si="3"/>
        <v>1020.68</v>
      </c>
    </row>
    <row r="129" spans="1:13" hidden="1" x14ac:dyDescent="0.35">
      <c r="A129">
        <f>'DASE DADOS - DISTANCIA'!A129</f>
        <v>30342</v>
      </c>
      <c r="B129" t="str">
        <f>'DASE DADOS - DISTANCIA'!B129</f>
        <v>EVE CARLA DAL BO</v>
      </c>
      <c r="C129" t="str">
        <f>'DASE DADOS - DISTANCIA'!C129</f>
        <v xml:space="preserve"> A4</v>
      </c>
      <c r="D129" t="str">
        <f>'DASE DADOS - DISTANCIA'!E129</f>
        <v>PRANCHITA</v>
      </c>
      <c r="E129" t="str">
        <f>'DASE DADOS - DISTANCIA'!I129</f>
        <v>PLUSVAL</v>
      </c>
      <c r="F129" s="7">
        <v>155</v>
      </c>
      <c r="G129">
        <f>'DASE DADOS - DISTANCIA'!J129</f>
        <v>310</v>
      </c>
      <c r="H129" s="2">
        <v>420</v>
      </c>
      <c r="I129" s="2" t="e">
        <f>IF(#REF!&lt;17200,DISTÂNCIA3[[#This Row],[KM PARA PAGAMENTO DOS FRETES]]*4.74,((#REF!/17200)*4.74)*DISTÂNCIA3[[#This Row],[KM PARA PAGAMENTO DOS FRETES]])</f>
        <v>#REF!</v>
      </c>
      <c r="J129" s="4">
        <f>DISTÂNCIA3[[#This Row],[Valor CTE]]/DISTÂNCIA3[[#This Row],[KM PARA PAGAMENTO DOS FRETES]]</f>
        <v>5.0220967741935478</v>
      </c>
      <c r="K129" s="6">
        <f t="shared" si="2"/>
        <v>904.03</v>
      </c>
      <c r="L129" s="6">
        <f>0.92*DISTÂNCIA3[[#This Row],[KM distancia]]*4.578</f>
        <v>652.82280000000003</v>
      </c>
      <c r="M129" s="6">
        <f t="shared" si="3"/>
        <v>1556.85</v>
      </c>
    </row>
    <row r="130" spans="1:13" hidden="1" x14ac:dyDescent="0.35">
      <c r="A130">
        <f>'DASE DADOS - DISTANCIA'!A130</f>
        <v>30072</v>
      </c>
      <c r="B130" t="s">
        <v>1649</v>
      </c>
      <c r="C130" t="str">
        <f>'DASE DADOS - DISTANCIA'!C130</f>
        <v xml:space="preserve"> A2</v>
      </c>
      <c r="D130" t="str">
        <f>'DASE DADOS - DISTANCIA'!E130</f>
        <v>CAPANEMA</v>
      </c>
      <c r="E130" t="str">
        <f>'DASE DADOS - DISTANCIA'!I130</f>
        <v>PLUSVAL</v>
      </c>
      <c r="F130" s="7">
        <v>130</v>
      </c>
      <c r="G130">
        <f>'DASE DADOS - DISTANCIA'!J130</f>
        <v>260</v>
      </c>
      <c r="H130" s="2">
        <v>420</v>
      </c>
      <c r="I130" s="2" t="e">
        <f>IF(#REF!&lt;17200,DISTÂNCIA3[[#This Row],[KM PARA PAGAMENTO DOS FRETES]]*4.74,((#REF!/17200)*4.74)*DISTÂNCIA3[[#This Row],[KM PARA PAGAMENTO DOS FRETES]])</f>
        <v>#REF!</v>
      </c>
      <c r="J130" s="4">
        <f>DISTÂNCIA3[[#This Row],[Valor CTE]]/DISTÂNCIA3[[#This Row],[KM PARA PAGAMENTO DOS FRETES]]</f>
        <v>5.1427307692307691</v>
      </c>
      <c r="K130" s="6">
        <f t="shared" ref="K130:K180" si="4">ROUND((F130*4.578)+194.44,2)</f>
        <v>789.58</v>
      </c>
      <c r="L130" s="6">
        <f>0.92*DISTÂNCIA3[[#This Row],[KM distancia]]*4.578</f>
        <v>547.52880000000005</v>
      </c>
      <c r="M130" s="6">
        <f t="shared" si="3"/>
        <v>1337.11</v>
      </c>
    </row>
    <row r="131" spans="1:13" hidden="1" x14ac:dyDescent="0.35">
      <c r="A131">
        <f>'DASE DADOS - DISTANCIA'!A131</f>
        <v>30342</v>
      </c>
      <c r="B131" t="str">
        <f>'DASE DADOS - DISTANCIA'!B131</f>
        <v>EVE CARLA DAL BO</v>
      </c>
      <c r="C131" t="str">
        <f>'DASE DADOS - DISTANCIA'!C131</f>
        <v xml:space="preserve"> A3</v>
      </c>
      <c r="D131" t="str">
        <f>'DASE DADOS - DISTANCIA'!E131</f>
        <v>PRANCHITA</v>
      </c>
      <c r="E131" t="str">
        <f>'DASE DADOS - DISTANCIA'!I131</f>
        <v>PLUSVAL</v>
      </c>
      <c r="F131" s="7">
        <v>155</v>
      </c>
      <c r="G131">
        <f>'DASE DADOS - DISTANCIA'!J131</f>
        <v>310</v>
      </c>
      <c r="H131" s="2">
        <v>420</v>
      </c>
      <c r="I131" s="2" t="e">
        <f>IF(#REF!&lt;17200,DISTÂNCIA3[[#This Row],[KM PARA PAGAMENTO DOS FRETES]]*4.74,((#REF!/17200)*4.74)*DISTÂNCIA3[[#This Row],[KM PARA PAGAMENTO DOS FRETES]])</f>
        <v>#REF!</v>
      </c>
      <c r="J131" s="4">
        <f>DISTÂNCIA3[[#This Row],[Valor CTE]]/DISTÂNCIA3[[#This Row],[KM PARA PAGAMENTO DOS FRETES]]</f>
        <v>5.0220967741935478</v>
      </c>
      <c r="K131" s="6">
        <f t="shared" si="4"/>
        <v>904.03</v>
      </c>
      <c r="L131" s="6">
        <f>0.92*DISTÂNCIA3[[#This Row],[KM distancia]]*4.578</f>
        <v>652.82280000000003</v>
      </c>
      <c r="M131" s="6">
        <f t="shared" ref="M131:M180" si="5">ROUND(((F131*4.578)+194.44)+(0.92*F131*4.578),2)</f>
        <v>1556.85</v>
      </c>
    </row>
    <row r="132" spans="1:13" hidden="1" x14ac:dyDescent="0.35">
      <c r="A132">
        <f>'DASE DADOS - DISTANCIA'!A132</f>
        <v>30072</v>
      </c>
      <c r="B132" t="str">
        <f>'DASE DADOS - DISTANCIA'!B132</f>
        <v>ANDROW KELVIN GEBAUER</v>
      </c>
      <c r="C132" t="str">
        <f>'DASE DADOS - DISTANCIA'!C132</f>
        <v xml:space="preserve"> A1</v>
      </c>
      <c r="D132" t="str">
        <f>'DASE DADOS - DISTANCIA'!E132</f>
        <v>CAPANEMA</v>
      </c>
      <c r="E132" t="str">
        <f>'DASE DADOS - DISTANCIA'!I132</f>
        <v>PLUSVAL</v>
      </c>
      <c r="F132" s="7">
        <v>130</v>
      </c>
      <c r="G132">
        <f>'DASE DADOS - DISTANCIA'!J132</f>
        <v>260</v>
      </c>
      <c r="H132" s="2">
        <v>420</v>
      </c>
      <c r="I132" s="2" t="e">
        <f>IF(#REF!&lt;17200,DISTÂNCIA3[[#This Row],[KM PARA PAGAMENTO DOS FRETES]]*4.74,((#REF!/17200)*4.74)*DISTÂNCIA3[[#This Row],[KM PARA PAGAMENTO DOS FRETES]])</f>
        <v>#REF!</v>
      </c>
      <c r="J132" s="4">
        <f>DISTÂNCIA3[[#This Row],[Valor CTE]]/DISTÂNCIA3[[#This Row],[KM PARA PAGAMENTO DOS FRETES]]</f>
        <v>5.1427307692307691</v>
      </c>
      <c r="K132" s="6">
        <f t="shared" si="4"/>
        <v>789.58</v>
      </c>
      <c r="L132" s="6">
        <f>0.92*DISTÂNCIA3[[#This Row],[KM distancia]]*4.578</f>
        <v>547.52880000000005</v>
      </c>
      <c r="M132" s="6">
        <f t="shared" si="5"/>
        <v>1337.11</v>
      </c>
    </row>
    <row r="133" spans="1:13" hidden="1" x14ac:dyDescent="0.35">
      <c r="A133">
        <f>'DASE DADOS - DISTANCIA'!A133</f>
        <v>30342</v>
      </c>
      <c r="B133" t="str">
        <f>'DASE DADOS - DISTANCIA'!B133</f>
        <v>EVE CARLA DAL BO</v>
      </c>
      <c r="C133" t="str">
        <f>'DASE DADOS - DISTANCIA'!C133</f>
        <v xml:space="preserve"> A2</v>
      </c>
      <c r="D133" t="str">
        <f>'DASE DADOS - DISTANCIA'!E133</f>
        <v>PRANCHITA</v>
      </c>
      <c r="E133" t="str">
        <f>'DASE DADOS - DISTANCIA'!I133</f>
        <v>PLUSVAL</v>
      </c>
      <c r="F133" s="7">
        <v>155</v>
      </c>
      <c r="G133">
        <f>'DASE DADOS - DISTANCIA'!J133</f>
        <v>310</v>
      </c>
      <c r="H133" s="2">
        <v>420</v>
      </c>
      <c r="I133" s="2" t="e">
        <f>IF(#REF!&lt;17200,DISTÂNCIA3[[#This Row],[KM PARA PAGAMENTO DOS FRETES]]*4.74,((#REF!/17200)*4.74)*DISTÂNCIA3[[#This Row],[KM PARA PAGAMENTO DOS FRETES]])</f>
        <v>#REF!</v>
      </c>
      <c r="J133" s="4">
        <f>DISTÂNCIA3[[#This Row],[Valor CTE]]/DISTÂNCIA3[[#This Row],[KM PARA PAGAMENTO DOS FRETES]]</f>
        <v>5.0220967741935478</v>
      </c>
      <c r="K133" s="6">
        <f t="shared" si="4"/>
        <v>904.03</v>
      </c>
      <c r="L133" s="6">
        <f>0.92*DISTÂNCIA3[[#This Row],[KM distancia]]*4.578</f>
        <v>652.82280000000003</v>
      </c>
      <c r="M133" s="6">
        <f t="shared" si="5"/>
        <v>1556.85</v>
      </c>
    </row>
    <row r="134" spans="1:13" hidden="1" x14ac:dyDescent="0.35">
      <c r="A134">
        <f>'DASE DADOS - DISTANCIA'!A134</f>
        <v>30342</v>
      </c>
      <c r="B134" t="str">
        <f>'DASE DADOS - DISTANCIA'!B134</f>
        <v>EVE CARLA DAL BO</v>
      </c>
      <c r="C134" t="str">
        <f>'DASE DADOS - DISTANCIA'!C134</f>
        <v xml:space="preserve"> A1</v>
      </c>
      <c r="D134" t="str">
        <f>'DASE DADOS - DISTANCIA'!E134</f>
        <v>PRANCHITA</v>
      </c>
      <c r="E134" t="str">
        <f>'DASE DADOS - DISTANCIA'!I134</f>
        <v>PLUSVAL</v>
      </c>
      <c r="F134" s="7">
        <v>155</v>
      </c>
      <c r="G134">
        <f>'DASE DADOS - DISTANCIA'!J134</f>
        <v>310</v>
      </c>
      <c r="H134" s="2">
        <v>420</v>
      </c>
      <c r="I134" s="2" t="e">
        <f>IF(#REF!&lt;17200,DISTÂNCIA3[[#This Row],[KM PARA PAGAMENTO DOS FRETES]]*4.74,((#REF!/17200)*4.74)*DISTÂNCIA3[[#This Row],[KM PARA PAGAMENTO DOS FRETES]])</f>
        <v>#REF!</v>
      </c>
      <c r="J134" s="4">
        <f>DISTÂNCIA3[[#This Row],[Valor CTE]]/DISTÂNCIA3[[#This Row],[KM PARA PAGAMENTO DOS FRETES]]</f>
        <v>5.0220967741935478</v>
      </c>
      <c r="K134" s="6">
        <f t="shared" si="4"/>
        <v>904.03</v>
      </c>
      <c r="L134" s="6">
        <f>0.92*DISTÂNCIA3[[#This Row],[KM distancia]]*4.578</f>
        <v>652.82280000000003</v>
      </c>
      <c r="M134" s="6">
        <f t="shared" si="5"/>
        <v>1556.85</v>
      </c>
    </row>
    <row r="135" spans="1:13" hidden="1" x14ac:dyDescent="0.35">
      <c r="A135">
        <f>'DASE DADOS - DISTANCIA'!A135</f>
        <v>5675936</v>
      </c>
      <c r="B135" t="str">
        <f>'DASE DADOS - DISTANCIA'!B135</f>
        <v>ANTONIO FERNANDES DE OLIVEIRA</v>
      </c>
      <c r="C135" t="str">
        <f>'DASE DADOS - DISTANCIA'!C135</f>
        <v xml:space="preserve"> A1</v>
      </c>
      <c r="D135" t="str">
        <f>'DASE DADOS - DISTANCIA'!E135</f>
        <v>TOLEDO</v>
      </c>
      <c r="E135" t="str">
        <f>'DASE DADOS - DISTANCIA'!I135</f>
        <v>PLUMA</v>
      </c>
      <c r="F135" s="7">
        <v>46</v>
      </c>
      <c r="G135">
        <f>'DASE DADOS - DISTANCIA'!J135</f>
        <v>92</v>
      </c>
      <c r="H135" s="2">
        <v>420</v>
      </c>
      <c r="I135" s="2" t="e">
        <f>IF(#REF!&lt;17200,DISTÂNCIA3[[#This Row],[KM PARA PAGAMENTO DOS FRETES]]*4.74,((#REF!/17200)*4.74)*DISTÂNCIA3[[#This Row],[KM PARA PAGAMENTO DOS FRETES]])</f>
        <v>#REF!</v>
      </c>
      <c r="J135" s="4">
        <f>DISTÂNCIA3[[#This Row],[Valor CTE]]/DISTÂNCIA3[[#This Row],[KM PARA PAGAMENTO DOS FRETES]]</f>
        <v>6.5083695652173912</v>
      </c>
      <c r="K135" s="6">
        <f t="shared" si="4"/>
        <v>405.03</v>
      </c>
      <c r="L135" s="6">
        <f>0.92*DISTÂNCIA3[[#This Row],[KM distancia]]*4.578</f>
        <v>193.74096</v>
      </c>
      <c r="M135" s="6">
        <f t="shared" si="5"/>
        <v>598.77</v>
      </c>
    </row>
    <row r="136" spans="1:13" hidden="1" x14ac:dyDescent="0.35">
      <c r="A136">
        <f>'DASE DADOS - DISTANCIA'!A136</f>
        <v>30342</v>
      </c>
      <c r="B136" t="str">
        <f>'DASE DADOS - DISTANCIA'!B136</f>
        <v>EVE CARLA DAL BO</v>
      </c>
      <c r="C136" t="str">
        <f>'DASE DADOS - DISTANCIA'!C136</f>
        <v xml:space="preserve"> A5</v>
      </c>
      <c r="D136" t="str">
        <f>'DASE DADOS - DISTANCIA'!E136</f>
        <v>PRANCHITA</v>
      </c>
      <c r="E136" t="str">
        <f>'DASE DADOS - DISTANCIA'!I136</f>
        <v>PLUSVAL</v>
      </c>
      <c r="F136" s="7">
        <v>155</v>
      </c>
      <c r="G136">
        <f>'DASE DADOS - DISTANCIA'!J136</f>
        <v>310</v>
      </c>
      <c r="H136" s="2">
        <v>420</v>
      </c>
      <c r="I136" s="2" t="e">
        <f>IF(#REF!&lt;17200,DISTÂNCIA3[[#This Row],[KM PARA PAGAMENTO DOS FRETES]]*4.74,((#REF!/17200)*4.74)*DISTÂNCIA3[[#This Row],[KM PARA PAGAMENTO DOS FRETES]])</f>
        <v>#REF!</v>
      </c>
      <c r="J136" s="4">
        <f>DISTÂNCIA3[[#This Row],[Valor CTE]]/DISTÂNCIA3[[#This Row],[KM PARA PAGAMENTO DOS FRETES]]</f>
        <v>5.0220967741935478</v>
      </c>
      <c r="K136" s="6">
        <f t="shared" si="4"/>
        <v>904.03</v>
      </c>
      <c r="L136" s="6">
        <f>0.92*DISTÂNCIA3[[#This Row],[KM distancia]]*4.578</f>
        <v>652.82280000000003</v>
      </c>
      <c r="M136" s="6">
        <f t="shared" si="5"/>
        <v>1556.85</v>
      </c>
    </row>
    <row r="137" spans="1:13" hidden="1" x14ac:dyDescent="0.35">
      <c r="A137">
        <f>'DASE DADOS - DISTANCIA'!A137</f>
        <v>29887</v>
      </c>
      <c r="B137" t="str">
        <f>'DASE DADOS - DISTANCIA'!B137</f>
        <v>ARDENICO DALL ALBA</v>
      </c>
      <c r="C137" t="str">
        <f>'DASE DADOS - DISTANCIA'!C137</f>
        <v xml:space="preserve"> A1</v>
      </c>
      <c r="D137" t="str">
        <f>'DASE DADOS - DISTANCIA'!E137</f>
        <v>CAPANEMA</v>
      </c>
      <c r="E137" t="str">
        <f>'DASE DADOS - DISTANCIA'!I137</f>
        <v>PLUSVAL</v>
      </c>
      <c r="F137" s="7">
        <v>108.5</v>
      </c>
      <c r="G137">
        <f>'DASE DADOS - DISTANCIA'!J137</f>
        <v>217</v>
      </c>
      <c r="H137" s="2">
        <v>420</v>
      </c>
      <c r="I137" s="2" t="e">
        <f>IF(#REF!&lt;17200,DISTÂNCIA3[[#This Row],[KM PARA PAGAMENTO DOS FRETES]]*4.74,((#REF!/17200)*4.74)*DISTÂNCIA3[[#This Row],[KM PARA PAGAMENTO DOS FRETES]])</f>
        <v>#REF!</v>
      </c>
      <c r="J137" s="4">
        <f>DISTÂNCIA3[[#This Row],[Valor CTE]]/DISTÂNCIA3[[#This Row],[KM PARA PAGAMENTO DOS FRETES]]</f>
        <v>5.2909216589861758</v>
      </c>
      <c r="K137" s="6">
        <f t="shared" si="4"/>
        <v>691.15</v>
      </c>
      <c r="L137" s="6">
        <f>0.92*DISTÂNCIA3[[#This Row],[KM distancia]]*4.578</f>
        <v>456.97596000000004</v>
      </c>
      <c r="M137" s="6">
        <f t="shared" si="5"/>
        <v>1148.1300000000001</v>
      </c>
    </row>
    <row r="138" spans="1:13" hidden="1" x14ac:dyDescent="0.35">
      <c r="A138">
        <f>'DASE DADOS - DISTANCIA'!A138</f>
        <v>29958</v>
      </c>
      <c r="B138" t="str">
        <f>'DASE DADOS - DISTANCIA'!B138</f>
        <v>LAIRSON THEISEN</v>
      </c>
      <c r="C138" t="str">
        <f>'DASE DADOS - DISTANCIA'!C138</f>
        <v xml:space="preserve"> A1</v>
      </c>
      <c r="D138" t="str">
        <f>'DASE DADOS - DISTANCIA'!E138</f>
        <v>CAPANEMA</v>
      </c>
      <c r="E138" t="str">
        <f>'DASE DADOS - DISTANCIA'!I138</f>
        <v>PLUSVAL</v>
      </c>
      <c r="F138" s="7">
        <v>114.5</v>
      </c>
      <c r="G138">
        <f>'DASE DADOS - DISTANCIA'!J138</f>
        <v>229</v>
      </c>
      <c r="H138" s="2">
        <v>420</v>
      </c>
      <c r="I138" s="2" t="e">
        <f>IF(#REF!&lt;17200,DISTÂNCIA3[[#This Row],[KM PARA PAGAMENTO DOS FRETES]]*4.74,((#REF!/17200)*4.74)*DISTÂNCIA3[[#This Row],[KM PARA PAGAMENTO DOS FRETES]])</f>
        <v>#REF!</v>
      </c>
      <c r="J138" s="4">
        <f>DISTÂNCIA3[[#This Row],[Valor CTE]]/DISTÂNCIA3[[#This Row],[KM PARA PAGAMENTO DOS FRETES]]</f>
        <v>5.2439737991266373</v>
      </c>
      <c r="K138" s="6">
        <f t="shared" si="4"/>
        <v>718.62</v>
      </c>
      <c r="L138" s="6">
        <f>0.92*DISTÂNCIA3[[#This Row],[KM distancia]]*4.578</f>
        <v>482.24652000000003</v>
      </c>
      <c r="M138" s="6">
        <f t="shared" si="5"/>
        <v>1200.8699999999999</v>
      </c>
    </row>
    <row r="139" spans="1:13" hidden="1" x14ac:dyDescent="0.35">
      <c r="A139">
        <f>'DASE DADOS - DISTANCIA'!A139</f>
        <v>5475007</v>
      </c>
      <c r="B139" t="str">
        <f>'DASE DADOS - DISTANCIA'!B139</f>
        <v>ARNO SCHMIDT</v>
      </c>
      <c r="C139" t="str">
        <f>'DASE DADOS - DISTANCIA'!C139</f>
        <v xml:space="preserve"> A1</v>
      </c>
      <c r="D139" t="str">
        <f>'DASE DADOS - DISTANCIA'!E139</f>
        <v>TOLEDO</v>
      </c>
      <c r="E139" t="str">
        <f>'DASE DADOS - DISTANCIA'!I139</f>
        <v>PLUMA</v>
      </c>
      <c r="F139" s="7">
        <v>67</v>
      </c>
      <c r="G139">
        <f>'DASE DADOS - DISTANCIA'!J139</f>
        <v>134</v>
      </c>
      <c r="H139" s="2">
        <v>420</v>
      </c>
      <c r="I139" s="2" t="e">
        <f>IF(#REF!&lt;17200,DISTÂNCIA3[[#This Row],[KM PARA PAGAMENTO DOS FRETES]]*4.74,((#REF!/17200)*4.74)*DISTÂNCIA3[[#This Row],[KM PARA PAGAMENTO DOS FRETES]])</f>
        <v>#REF!</v>
      </c>
      <c r="J139" s="4">
        <f>DISTÂNCIA3[[#This Row],[Valor CTE]]/DISTÂNCIA3[[#This Row],[KM PARA PAGAMENTO DOS FRETES]]</f>
        <v>5.8458955223880595</v>
      </c>
      <c r="K139" s="6">
        <f t="shared" si="4"/>
        <v>501.17</v>
      </c>
      <c r="L139" s="6">
        <f>0.92*DISTÂNCIA3[[#This Row],[KM distancia]]*4.578</f>
        <v>282.18792000000002</v>
      </c>
      <c r="M139" s="6">
        <f t="shared" si="5"/>
        <v>783.35</v>
      </c>
    </row>
    <row r="140" spans="1:13" hidden="1" x14ac:dyDescent="0.35">
      <c r="A140">
        <f>'DASE DADOS - DISTANCIA'!A140</f>
        <v>29958</v>
      </c>
      <c r="B140" t="str">
        <f>'DASE DADOS - DISTANCIA'!B140</f>
        <v>LAIRSON THEISEN</v>
      </c>
      <c r="C140" t="str">
        <f>'DASE DADOS - DISTANCIA'!C140</f>
        <v xml:space="preserve"> A2</v>
      </c>
      <c r="D140" t="str">
        <f>'DASE DADOS - DISTANCIA'!E140</f>
        <v>CAPANEMA</v>
      </c>
      <c r="E140" t="str">
        <f>'DASE DADOS - DISTANCIA'!I140</f>
        <v>PLUSVAL</v>
      </c>
      <c r="F140" s="7">
        <v>114.5</v>
      </c>
      <c r="G140">
        <f>'DASE DADOS - DISTANCIA'!J140</f>
        <v>229</v>
      </c>
      <c r="H140" s="2">
        <v>420</v>
      </c>
      <c r="I140" s="2" t="e">
        <f>IF(#REF!&lt;17200,DISTÂNCIA3[[#This Row],[KM PARA PAGAMENTO DOS FRETES]]*4.74,((#REF!/17200)*4.74)*DISTÂNCIA3[[#This Row],[KM PARA PAGAMENTO DOS FRETES]])</f>
        <v>#REF!</v>
      </c>
      <c r="J140" s="4">
        <f>DISTÂNCIA3[[#This Row],[Valor CTE]]/DISTÂNCIA3[[#This Row],[KM PARA PAGAMENTO DOS FRETES]]</f>
        <v>5.2439737991266373</v>
      </c>
      <c r="K140" s="6">
        <f t="shared" si="4"/>
        <v>718.62</v>
      </c>
      <c r="L140" s="6">
        <f>0.92*DISTÂNCIA3[[#This Row],[KM distancia]]*4.578</f>
        <v>482.24652000000003</v>
      </c>
      <c r="M140" s="6">
        <f t="shared" si="5"/>
        <v>1200.8699999999999</v>
      </c>
    </row>
    <row r="141" spans="1:13" hidden="1" x14ac:dyDescent="0.35">
      <c r="A141">
        <f>'DASE DADOS - DISTANCIA'!A141</f>
        <v>5475007</v>
      </c>
      <c r="B141" t="str">
        <f>'DASE DADOS - DISTANCIA'!B141</f>
        <v>ARNO SCHMIDT</v>
      </c>
      <c r="C141" t="str">
        <f>'DASE DADOS - DISTANCIA'!C141</f>
        <v xml:space="preserve"> A2</v>
      </c>
      <c r="D141" t="str">
        <f>'DASE DADOS - DISTANCIA'!E141</f>
        <v>TOLEDO</v>
      </c>
      <c r="E141" t="str">
        <f>'DASE DADOS - DISTANCIA'!I141</f>
        <v>PLUMA</v>
      </c>
      <c r="F141" s="7">
        <v>67</v>
      </c>
      <c r="G141">
        <f>'DASE DADOS - DISTANCIA'!J141</f>
        <v>134</v>
      </c>
      <c r="H141" s="2">
        <v>420</v>
      </c>
      <c r="I141" s="2" t="e">
        <f>IF(#REF!&lt;17200,DISTÂNCIA3[[#This Row],[KM PARA PAGAMENTO DOS FRETES]]*4.74,((#REF!/17200)*4.74)*DISTÂNCIA3[[#This Row],[KM PARA PAGAMENTO DOS FRETES]])</f>
        <v>#REF!</v>
      </c>
      <c r="J141" s="4">
        <f>DISTÂNCIA3[[#This Row],[Valor CTE]]/DISTÂNCIA3[[#This Row],[KM PARA PAGAMENTO DOS FRETES]]</f>
        <v>5.8458955223880595</v>
      </c>
      <c r="K141" s="6">
        <f t="shared" si="4"/>
        <v>501.17</v>
      </c>
      <c r="L141" s="6">
        <f>0.92*DISTÂNCIA3[[#This Row],[KM distancia]]*4.578</f>
        <v>282.18792000000002</v>
      </c>
      <c r="M141" s="6">
        <f t="shared" si="5"/>
        <v>783.35</v>
      </c>
    </row>
    <row r="142" spans="1:13" hidden="1" x14ac:dyDescent="0.35">
      <c r="A142">
        <f>'DASE DADOS - DISTANCIA'!A142</f>
        <v>30465</v>
      </c>
      <c r="B142" t="str">
        <f>'DASE DADOS - DISTANCIA'!B142</f>
        <v>LIANE EBERT</v>
      </c>
      <c r="C142" t="str">
        <f>'DASE DADOS - DISTANCIA'!C142</f>
        <v xml:space="preserve"> A1</v>
      </c>
      <c r="D142" t="str">
        <f>'DASE DADOS - DISTANCIA'!E142</f>
        <v>CAPANEMA</v>
      </c>
      <c r="E142" t="str">
        <f>'DASE DADOS - DISTANCIA'!I142</f>
        <v>PLUSVAL</v>
      </c>
      <c r="F142" s="7">
        <v>129.5</v>
      </c>
      <c r="G142">
        <f>'DASE DADOS - DISTANCIA'!J142</f>
        <v>259</v>
      </c>
      <c r="H142" s="2">
        <v>420</v>
      </c>
      <c r="I142" s="2" t="e">
        <f>IF(#REF!&lt;17200,DISTÂNCIA3[[#This Row],[KM PARA PAGAMENTO DOS FRETES]]*4.74,((#REF!/17200)*4.74)*DISTÂNCIA3[[#This Row],[KM PARA PAGAMENTO DOS FRETES]])</f>
        <v>#REF!</v>
      </c>
      <c r="J142" s="4">
        <f>DISTÂNCIA3[[#This Row],[Valor CTE]]/DISTÂNCIA3[[#This Row],[KM PARA PAGAMENTO DOS FRETES]]</f>
        <v>5.1455984555984555</v>
      </c>
      <c r="K142" s="6">
        <f t="shared" si="4"/>
        <v>787.29</v>
      </c>
      <c r="L142" s="6">
        <f>0.92*DISTÂNCIA3[[#This Row],[KM distancia]]*4.578</f>
        <v>545.42292000000009</v>
      </c>
      <c r="M142" s="6">
        <f t="shared" si="5"/>
        <v>1332.71</v>
      </c>
    </row>
    <row r="143" spans="1:13" hidden="1" x14ac:dyDescent="0.35">
      <c r="A143">
        <f>'DASE DADOS - DISTANCIA'!A143</f>
        <v>5475007</v>
      </c>
      <c r="B143" t="str">
        <f>'DASE DADOS - DISTANCIA'!B143</f>
        <v>ARNO SCHMIDT</v>
      </c>
      <c r="C143" t="str">
        <f>'DASE DADOS - DISTANCIA'!C143</f>
        <v xml:space="preserve"> A3</v>
      </c>
      <c r="D143" t="str">
        <f>'DASE DADOS - DISTANCIA'!E143</f>
        <v>TOLEDO</v>
      </c>
      <c r="E143" t="str">
        <f>'DASE DADOS - DISTANCIA'!I143</f>
        <v>PLUMA</v>
      </c>
      <c r="F143" s="7">
        <v>67</v>
      </c>
      <c r="G143">
        <f>'DASE DADOS - DISTANCIA'!J143</f>
        <v>134</v>
      </c>
      <c r="H143" s="2">
        <v>420</v>
      </c>
      <c r="I143" s="2" t="e">
        <f>IF(#REF!&lt;17200,DISTÂNCIA3[[#This Row],[KM PARA PAGAMENTO DOS FRETES]]*4.74,((#REF!/17200)*4.74)*DISTÂNCIA3[[#This Row],[KM PARA PAGAMENTO DOS FRETES]])</f>
        <v>#REF!</v>
      </c>
      <c r="J143" s="4">
        <f>DISTÂNCIA3[[#This Row],[Valor CTE]]/DISTÂNCIA3[[#This Row],[KM PARA PAGAMENTO DOS FRETES]]</f>
        <v>5.8458955223880595</v>
      </c>
      <c r="K143" s="6">
        <f t="shared" si="4"/>
        <v>501.17</v>
      </c>
      <c r="L143" s="6">
        <f>0.92*DISTÂNCIA3[[#This Row],[KM distancia]]*4.578</f>
        <v>282.18792000000002</v>
      </c>
      <c r="M143" s="6">
        <f t="shared" si="5"/>
        <v>783.35</v>
      </c>
    </row>
    <row r="144" spans="1:13" hidden="1" x14ac:dyDescent="0.35">
      <c r="A144">
        <f>'DASE DADOS - DISTANCIA'!A144</f>
        <v>30466</v>
      </c>
      <c r="B144" t="str">
        <f>'DASE DADOS - DISTANCIA'!B144</f>
        <v>LIRIO BAYERLE</v>
      </c>
      <c r="C144" t="str">
        <f>'DASE DADOS - DISTANCIA'!C144</f>
        <v xml:space="preserve"> A1</v>
      </c>
      <c r="D144" t="str">
        <f>'DASE DADOS - DISTANCIA'!E144</f>
        <v>CAPANEMA</v>
      </c>
      <c r="E144" t="str">
        <f>'DASE DADOS - DISTANCIA'!I144</f>
        <v>PLUSVAL</v>
      </c>
      <c r="F144" s="7">
        <v>121.5</v>
      </c>
      <c r="G144">
        <f>'DASE DADOS - DISTANCIA'!J144</f>
        <v>243</v>
      </c>
      <c r="H144" s="2">
        <v>420</v>
      </c>
      <c r="I144" s="2" t="e">
        <f>IF(#REF!&lt;17200,DISTÂNCIA3[[#This Row],[KM PARA PAGAMENTO DOS FRETES]]*4.74,((#REF!/17200)*4.74)*DISTÂNCIA3[[#This Row],[KM PARA PAGAMENTO DOS FRETES]])</f>
        <v>#REF!</v>
      </c>
      <c r="J144" s="4">
        <f>DISTÂNCIA3[[#This Row],[Valor CTE]]/DISTÂNCIA3[[#This Row],[KM PARA PAGAMENTO DOS FRETES]]</f>
        <v>5.1950617283950624</v>
      </c>
      <c r="K144" s="6">
        <f t="shared" si="4"/>
        <v>750.67</v>
      </c>
      <c r="L144" s="6">
        <f>0.92*DISTÂNCIA3[[#This Row],[KM distancia]]*4.578</f>
        <v>511.72884000000005</v>
      </c>
      <c r="M144" s="6">
        <f t="shared" si="5"/>
        <v>1262.4000000000001</v>
      </c>
    </row>
    <row r="145" spans="1:13" hidden="1" x14ac:dyDescent="0.35">
      <c r="A145">
        <f>'DASE DADOS - DISTANCIA'!A145</f>
        <v>5418780</v>
      </c>
      <c r="B145" t="str">
        <f>'DASE DADOS - DISTANCIA'!B145</f>
        <v>ARTUR FERLER</v>
      </c>
      <c r="C145" t="str">
        <f>'DASE DADOS - DISTANCIA'!C145</f>
        <v xml:space="preserve"> A1</v>
      </c>
      <c r="D145" t="str">
        <f>'DASE DADOS - DISTANCIA'!E145</f>
        <v>NOVA SANTA ROSA</v>
      </c>
      <c r="E145" t="str">
        <f>'DASE DADOS - DISTANCIA'!I145</f>
        <v>PLUMA</v>
      </c>
      <c r="F145" s="7">
        <v>103</v>
      </c>
      <c r="G145">
        <f>'DASE DADOS - DISTANCIA'!J145</f>
        <v>206</v>
      </c>
      <c r="H145" s="2">
        <v>420</v>
      </c>
      <c r="I145" s="2" t="e">
        <f>IF(#REF!&lt;17200,DISTÂNCIA3[[#This Row],[KM PARA PAGAMENTO DOS FRETES]]*4.74,((#REF!/17200)*4.74)*DISTÂNCIA3[[#This Row],[KM PARA PAGAMENTO DOS FRETES]])</f>
        <v>#REF!</v>
      </c>
      <c r="J145" s="4">
        <f>DISTÂNCIA3[[#This Row],[Valor CTE]]/DISTÂNCIA3[[#This Row],[KM PARA PAGAMENTO DOS FRETES]]</f>
        <v>5.3387864077669898</v>
      </c>
      <c r="K145" s="6">
        <f t="shared" si="4"/>
        <v>665.97</v>
      </c>
      <c r="L145" s="6">
        <f>0.92*DISTÂNCIA3[[#This Row],[KM distancia]]*4.578</f>
        <v>433.81128000000007</v>
      </c>
      <c r="M145" s="6">
        <f t="shared" si="5"/>
        <v>1099.79</v>
      </c>
    </row>
    <row r="146" spans="1:13" hidden="1" x14ac:dyDescent="0.35">
      <c r="A146">
        <f>'DASE DADOS - DISTANCIA'!A146</f>
        <v>30050</v>
      </c>
      <c r="B146" t="str">
        <f>'DASE DADOS - DISTANCIA'!B146</f>
        <v>VANDERLEI RESENER</v>
      </c>
      <c r="C146" t="str">
        <f>'DASE DADOS - DISTANCIA'!C146</f>
        <v xml:space="preserve"> A1</v>
      </c>
      <c r="D146" t="str">
        <f>'DASE DADOS - DISTANCIA'!E146</f>
        <v>CAPANEMA</v>
      </c>
      <c r="E146" t="str">
        <f>'DASE DADOS - DISTANCIA'!I146</f>
        <v>PLUSVAL</v>
      </c>
      <c r="F146" s="7">
        <v>124</v>
      </c>
      <c r="G146">
        <f>'DASE DADOS - DISTANCIA'!J146</f>
        <v>248</v>
      </c>
      <c r="H146" s="2">
        <v>420</v>
      </c>
      <c r="I146" s="2" t="e">
        <f>IF(#REF!&lt;17200,DISTÂNCIA3[[#This Row],[KM PARA PAGAMENTO DOS FRETES]]*4.74,((#REF!/17200)*4.74)*DISTÂNCIA3[[#This Row],[KM PARA PAGAMENTO DOS FRETES]])</f>
        <v>#REF!</v>
      </c>
      <c r="J146" s="4">
        <f>DISTÂNCIA3[[#This Row],[Valor CTE]]/DISTÂNCIA3[[#This Row],[KM PARA PAGAMENTO DOS FRETES]]</f>
        <v>5.1789112903225805</v>
      </c>
      <c r="K146" s="6">
        <f t="shared" si="4"/>
        <v>762.11</v>
      </c>
      <c r="L146" s="6">
        <f>0.92*DISTÂNCIA3[[#This Row],[KM distancia]]*4.578</f>
        <v>522.25824</v>
      </c>
      <c r="M146" s="6">
        <f t="shared" si="5"/>
        <v>1284.3699999999999</v>
      </c>
    </row>
    <row r="147" spans="1:13" hidden="1" x14ac:dyDescent="0.35">
      <c r="A147">
        <f>'DASE DADOS - DISTANCIA'!A147</f>
        <v>5418780</v>
      </c>
      <c r="B147" t="str">
        <f>'DASE DADOS - DISTANCIA'!B147</f>
        <v>ARTUR FERLER</v>
      </c>
      <c r="C147" t="str">
        <f>'DASE DADOS - DISTANCIA'!C147</f>
        <v xml:space="preserve"> A2</v>
      </c>
      <c r="D147" t="str">
        <f>'DASE DADOS - DISTANCIA'!E147</f>
        <v>NOVA SANTA ROSA</v>
      </c>
      <c r="E147" t="str">
        <f>'DASE DADOS - DISTANCIA'!I147</f>
        <v>PLUMA</v>
      </c>
      <c r="F147" s="7">
        <v>103</v>
      </c>
      <c r="G147">
        <f>'DASE DADOS - DISTANCIA'!J147</f>
        <v>206</v>
      </c>
      <c r="H147" s="2">
        <v>420</v>
      </c>
      <c r="I147" s="2" t="e">
        <f>IF(#REF!&lt;17200,DISTÂNCIA3[[#This Row],[KM PARA PAGAMENTO DOS FRETES]]*4.74,((#REF!/17200)*4.74)*DISTÂNCIA3[[#This Row],[KM PARA PAGAMENTO DOS FRETES]])</f>
        <v>#REF!</v>
      </c>
      <c r="J147" s="4">
        <f>DISTÂNCIA3[[#This Row],[Valor CTE]]/DISTÂNCIA3[[#This Row],[KM PARA PAGAMENTO DOS FRETES]]</f>
        <v>5.3387864077669898</v>
      </c>
      <c r="K147" s="6">
        <f t="shared" si="4"/>
        <v>665.97</v>
      </c>
      <c r="L147" s="6">
        <f>0.92*DISTÂNCIA3[[#This Row],[KM distancia]]*4.578</f>
        <v>433.81128000000007</v>
      </c>
      <c r="M147" s="6">
        <f t="shared" si="5"/>
        <v>1099.79</v>
      </c>
    </row>
    <row r="148" spans="1:13" hidden="1" x14ac:dyDescent="0.35">
      <c r="A148">
        <f>'DASE DADOS - DISTANCIA'!A148</f>
        <v>30050</v>
      </c>
      <c r="B148" t="str">
        <f>'DASE DADOS - DISTANCIA'!B148</f>
        <v>VANDERLEI RESENER</v>
      </c>
      <c r="C148" t="str">
        <f>'DASE DADOS - DISTANCIA'!C148</f>
        <v xml:space="preserve"> A2</v>
      </c>
      <c r="D148" t="str">
        <f>'DASE DADOS - DISTANCIA'!E148</f>
        <v>CAPANEMA</v>
      </c>
      <c r="E148" t="str">
        <f>'DASE DADOS - DISTANCIA'!I148</f>
        <v>PLUSVAL</v>
      </c>
      <c r="F148" s="7">
        <v>124</v>
      </c>
      <c r="G148">
        <f>'DASE DADOS - DISTANCIA'!J148</f>
        <v>248</v>
      </c>
      <c r="H148" s="2">
        <v>420</v>
      </c>
      <c r="I148" s="2" t="e">
        <f>IF(#REF!&lt;17200,DISTÂNCIA3[[#This Row],[KM PARA PAGAMENTO DOS FRETES]]*4.74,((#REF!/17200)*4.74)*DISTÂNCIA3[[#This Row],[KM PARA PAGAMENTO DOS FRETES]])</f>
        <v>#REF!</v>
      </c>
      <c r="J148" s="4">
        <f>DISTÂNCIA3[[#This Row],[Valor CTE]]/DISTÂNCIA3[[#This Row],[KM PARA PAGAMENTO DOS FRETES]]</f>
        <v>5.1789112903225805</v>
      </c>
      <c r="K148" s="6">
        <f t="shared" si="4"/>
        <v>762.11</v>
      </c>
      <c r="L148" s="6">
        <f>0.92*DISTÂNCIA3[[#This Row],[KM distancia]]*4.578</f>
        <v>522.25824</v>
      </c>
      <c r="M148" s="6">
        <f t="shared" si="5"/>
        <v>1284.3699999999999</v>
      </c>
    </row>
    <row r="149" spans="1:13" hidden="1" x14ac:dyDescent="0.35">
      <c r="A149">
        <f>'DASE DADOS - DISTANCIA'!A149</f>
        <v>314803</v>
      </c>
      <c r="B149" t="str">
        <f>'DASE DADOS - DISTANCIA'!B149</f>
        <v>BENO BATSCHKE</v>
      </c>
      <c r="C149" t="str">
        <f>'DASE DADOS - DISTANCIA'!C149</f>
        <v xml:space="preserve"> A1</v>
      </c>
      <c r="D149" t="str">
        <f>'DASE DADOS - DISTANCIA'!E149</f>
        <v>TOLEDO</v>
      </c>
      <c r="E149" t="str">
        <f>'DASE DADOS - DISTANCIA'!I149</f>
        <v>PLUMA</v>
      </c>
      <c r="F149" s="7">
        <v>89</v>
      </c>
      <c r="G149">
        <f>'DASE DADOS - DISTANCIA'!J149</f>
        <v>178</v>
      </c>
      <c r="H149" s="2">
        <v>420</v>
      </c>
      <c r="I149" s="2" t="e">
        <f>IF(#REF!&lt;17200,DISTÂNCIA3[[#This Row],[KM PARA PAGAMENTO DOS FRETES]]*4.74,((#REF!/17200)*4.74)*DISTÂNCIA3[[#This Row],[KM PARA PAGAMENTO DOS FRETES]])</f>
        <v>#REF!</v>
      </c>
      <c r="J149" s="4">
        <f>DISTÂNCIA3[[#This Row],[Valor CTE]]/DISTÂNCIA3[[#This Row],[KM PARA PAGAMENTO DOS FRETES]]</f>
        <v>5.4872471910112361</v>
      </c>
      <c r="K149" s="6">
        <f t="shared" si="4"/>
        <v>601.88</v>
      </c>
      <c r="L149" s="6">
        <f>0.92*DISTÂNCIA3[[#This Row],[KM distancia]]*4.578</f>
        <v>374.84664000000009</v>
      </c>
      <c r="M149" s="6">
        <f t="shared" si="5"/>
        <v>976.73</v>
      </c>
    </row>
    <row r="150" spans="1:13" hidden="1" x14ac:dyDescent="0.35">
      <c r="A150">
        <f>'DASE DADOS - DISTANCIA'!A150</f>
        <v>883921</v>
      </c>
      <c r="B150" t="str">
        <f>'DASE DADOS - DISTANCIA'!B150</f>
        <v>MOACIR SCATOLIN</v>
      </c>
      <c r="C150" t="str">
        <f>'DASE DADOS - DISTANCIA'!C150</f>
        <v xml:space="preserve"> A2</v>
      </c>
      <c r="D150" t="str">
        <f>'DASE DADOS - DISTANCIA'!E150</f>
        <v>SANTA IZABEL DO OESTE</v>
      </c>
      <c r="E150" t="str">
        <f>'DASE DADOS - DISTANCIA'!I150</f>
        <v>PLUSVAL</v>
      </c>
      <c r="F150" s="7">
        <v>122</v>
      </c>
      <c r="G150">
        <f>'DASE DADOS - DISTANCIA'!J150</f>
        <v>244</v>
      </c>
      <c r="H150" s="2">
        <v>420</v>
      </c>
      <c r="I150" s="2" t="e">
        <f>IF(#REF!&lt;17200,DISTÂNCIA3[[#This Row],[KM PARA PAGAMENTO DOS FRETES]]*4.74,((#REF!/17200)*4.74)*DISTÂNCIA3[[#This Row],[KM PARA PAGAMENTO DOS FRETES]])</f>
        <v>#REF!</v>
      </c>
      <c r="J150" s="4">
        <f>DISTÂNCIA3[[#This Row],[Valor CTE]]/DISTÂNCIA3[[#This Row],[KM PARA PAGAMENTO DOS FRETES]]</f>
        <v>5.1917622950819666</v>
      </c>
      <c r="K150" s="6">
        <f t="shared" si="4"/>
        <v>752.96</v>
      </c>
      <c r="L150" s="6">
        <f>0.92*DISTÂNCIA3[[#This Row],[KM distancia]]*4.578</f>
        <v>513.83472000000006</v>
      </c>
      <c r="M150" s="6">
        <f t="shared" si="5"/>
        <v>1266.79</v>
      </c>
    </row>
    <row r="151" spans="1:13" hidden="1" x14ac:dyDescent="0.35">
      <c r="A151">
        <f>'DASE DADOS - DISTANCIA'!A151</f>
        <v>314803</v>
      </c>
      <c r="B151" t="str">
        <f>'DASE DADOS - DISTANCIA'!B151</f>
        <v>BENO BATSCHKE</v>
      </c>
      <c r="C151" t="str">
        <f>'DASE DADOS - DISTANCIA'!C151</f>
        <v xml:space="preserve"> A2</v>
      </c>
      <c r="D151" t="str">
        <f>'DASE DADOS - DISTANCIA'!E151</f>
        <v>TOLEDO</v>
      </c>
      <c r="E151" t="str">
        <f>'DASE DADOS - DISTANCIA'!I151</f>
        <v>PLUMA</v>
      </c>
      <c r="F151" s="7">
        <v>89</v>
      </c>
      <c r="G151">
        <f>'DASE DADOS - DISTANCIA'!J151</f>
        <v>178</v>
      </c>
      <c r="H151" s="2">
        <v>420</v>
      </c>
      <c r="I151" s="2" t="e">
        <f>IF(#REF!&lt;17200,DISTÂNCIA3[[#This Row],[KM PARA PAGAMENTO DOS FRETES]]*4.74,((#REF!/17200)*4.74)*DISTÂNCIA3[[#This Row],[KM PARA PAGAMENTO DOS FRETES]])</f>
        <v>#REF!</v>
      </c>
      <c r="J151" s="4">
        <f>DISTÂNCIA3[[#This Row],[Valor CTE]]/DISTÂNCIA3[[#This Row],[KM PARA PAGAMENTO DOS FRETES]]</f>
        <v>5.4872471910112361</v>
      </c>
      <c r="K151" s="6">
        <f t="shared" si="4"/>
        <v>601.88</v>
      </c>
      <c r="L151" s="6">
        <f>0.92*DISTÂNCIA3[[#This Row],[KM distancia]]*4.578</f>
        <v>374.84664000000009</v>
      </c>
      <c r="M151" s="6">
        <f t="shared" si="5"/>
        <v>976.73</v>
      </c>
    </row>
    <row r="152" spans="1:13" hidden="1" x14ac:dyDescent="0.35">
      <c r="A152">
        <f>'DASE DADOS - DISTANCIA'!A152</f>
        <v>883921</v>
      </c>
      <c r="B152" t="str">
        <f>'DASE DADOS - DISTANCIA'!B152</f>
        <v>MOACIR SCATOLIN</v>
      </c>
      <c r="C152" t="str">
        <f>'DASE DADOS - DISTANCIA'!C152</f>
        <v xml:space="preserve"> A1</v>
      </c>
      <c r="D152" t="str">
        <f>'DASE DADOS - DISTANCIA'!E152</f>
        <v>SANTA IZABEL DO OESTE</v>
      </c>
      <c r="E152" t="str">
        <f>'DASE DADOS - DISTANCIA'!I152</f>
        <v>PLUSVAL</v>
      </c>
      <c r="F152" s="7">
        <v>122</v>
      </c>
      <c r="G152">
        <f>'DASE DADOS - DISTANCIA'!J152</f>
        <v>244</v>
      </c>
      <c r="H152" s="2">
        <v>420</v>
      </c>
      <c r="I152" s="2" t="e">
        <f>IF(#REF!&lt;17200,DISTÂNCIA3[[#This Row],[KM PARA PAGAMENTO DOS FRETES]]*4.74,((#REF!/17200)*4.74)*DISTÂNCIA3[[#This Row],[KM PARA PAGAMENTO DOS FRETES]])</f>
        <v>#REF!</v>
      </c>
      <c r="J152" s="4">
        <f>DISTÂNCIA3[[#This Row],[Valor CTE]]/DISTÂNCIA3[[#This Row],[KM PARA PAGAMENTO DOS FRETES]]</f>
        <v>5.1917622950819666</v>
      </c>
      <c r="K152" s="6">
        <f t="shared" si="4"/>
        <v>752.96</v>
      </c>
      <c r="L152" s="6">
        <f>0.92*DISTÂNCIA3[[#This Row],[KM distancia]]*4.578</f>
        <v>513.83472000000006</v>
      </c>
      <c r="M152" s="6">
        <f t="shared" si="5"/>
        <v>1266.79</v>
      </c>
    </row>
    <row r="153" spans="1:13" hidden="1" x14ac:dyDescent="0.35">
      <c r="A153">
        <f>'DASE DADOS - DISTANCIA'!A153</f>
        <v>30347</v>
      </c>
      <c r="B153" t="str">
        <f>'DASE DADOS - DISTANCIA'!B153</f>
        <v>BRUNO GABRIEL CEMBRANI</v>
      </c>
      <c r="C153" t="str">
        <f>'DASE DADOS - DISTANCIA'!C153</f>
        <v xml:space="preserve"> A1</v>
      </c>
      <c r="D153" t="str">
        <f>'DASE DADOS - DISTANCIA'!E153</f>
        <v>CAPANEMA</v>
      </c>
      <c r="E153" t="str">
        <f>'DASE DADOS - DISTANCIA'!I153</f>
        <v>PLUSVAL</v>
      </c>
      <c r="F153" s="7">
        <v>112</v>
      </c>
      <c r="G153">
        <f>'DASE DADOS - DISTANCIA'!J153</f>
        <v>224</v>
      </c>
      <c r="H153" s="2">
        <v>420</v>
      </c>
      <c r="I153" s="2" t="e">
        <f>IF(#REF!&lt;17200,DISTÂNCIA3[[#This Row],[KM PARA PAGAMENTO DOS FRETES]]*4.74,((#REF!/17200)*4.74)*DISTÂNCIA3[[#This Row],[KM PARA PAGAMENTO DOS FRETES]])</f>
        <v>#REF!</v>
      </c>
      <c r="J153" s="4">
        <f>DISTÂNCIA3[[#This Row],[Valor CTE]]/DISTÂNCIA3[[#This Row],[KM PARA PAGAMENTO DOS FRETES]]</f>
        <v>5.2629017857142859</v>
      </c>
      <c r="K153" s="6">
        <f t="shared" si="4"/>
        <v>707.18</v>
      </c>
      <c r="L153" s="6">
        <f>0.92*DISTÂNCIA3[[#This Row],[KM distancia]]*4.578</f>
        <v>471.71712000000008</v>
      </c>
      <c r="M153" s="6">
        <f t="shared" si="5"/>
        <v>1178.8900000000001</v>
      </c>
    </row>
    <row r="154" spans="1:13" hidden="1" x14ac:dyDescent="0.35">
      <c r="A154">
        <f>'DASE DADOS - DISTANCIA'!A154</f>
        <v>883921</v>
      </c>
      <c r="B154" t="str">
        <f>'DASE DADOS - DISTANCIA'!B154</f>
        <v>MOACIR SCATOLIN</v>
      </c>
      <c r="C154" t="str">
        <f>'DASE DADOS - DISTANCIA'!C154</f>
        <v xml:space="preserve"> A3</v>
      </c>
      <c r="D154" t="str">
        <f>'DASE DADOS - DISTANCIA'!E154</f>
        <v>SANTA IZABEL DO OESTE</v>
      </c>
      <c r="E154" t="str">
        <f>'DASE DADOS - DISTANCIA'!I154</f>
        <v>PLUSVAL</v>
      </c>
      <c r="F154" s="7">
        <v>122</v>
      </c>
      <c r="G154">
        <f>'DASE DADOS - DISTANCIA'!J154</f>
        <v>244</v>
      </c>
      <c r="H154" s="2">
        <v>420</v>
      </c>
      <c r="I154" s="2" t="e">
        <f>IF(#REF!&lt;17200,DISTÂNCIA3[[#This Row],[KM PARA PAGAMENTO DOS FRETES]]*4.74,((#REF!/17200)*4.74)*DISTÂNCIA3[[#This Row],[KM PARA PAGAMENTO DOS FRETES]])</f>
        <v>#REF!</v>
      </c>
      <c r="J154" s="4">
        <f>DISTÂNCIA3[[#This Row],[Valor CTE]]/DISTÂNCIA3[[#This Row],[KM PARA PAGAMENTO DOS FRETES]]</f>
        <v>5.1917622950819666</v>
      </c>
      <c r="K154" s="6">
        <f t="shared" si="4"/>
        <v>752.96</v>
      </c>
      <c r="L154" s="6">
        <f>0.92*DISTÂNCIA3[[#This Row],[KM distancia]]*4.578</f>
        <v>513.83472000000006</v>
      </c>
      <c r="M154" s="6">
        <f t="shared" si="5"/>
        <v>1266.79</v>
      </c>
    </row>
    <row r="155" spans="1:13" hidden="1" x14ac:dyDescent="0.35">
      <c r="A155">
        <f>'DASE DADOS - DISTANCIA'!A155</f>
        <v>5107601</v>
      </c>
      <c r="B155" t="str">
        <f>'DASE DADOS - DISTANCIA'!B155</f>
        <v>CARLOS ALBERTO MAROCHIO</v>
      </c>
      <c r="C155" t="str">
        <f>'DASE DADOS - DISTANCIA'!C155</f>
        <v xml:space="preserve"> A1</v>
      </c>
      <c r="D155" t="str">
        <f>'DASE DADOS - DISTANCIA'!E155</f>
        <v>ASSIS CHATEAUBRIAND</v>
      </c>
      <c r="E155" t="str">
        <f>'DASE DADOS - DISTANCIA'!I155</f>
        <v>PLUMA</v>
      </c>
      <c r="F155" s="7">
        <v>77.5</v>
      </c>
      <c r="G155">
        <f>'DASE DADOS - DISTANCIA'!J155</f>
        <v>155</v>
      </c>
      <c r="H155" s="2">
        <v>420</v>
      </c>
      <c r="I155" s="2" t="e">
        <f>IF(#REF!&lt;17200,DISTÂNCIA3[[#This Row],[KM PARA PAGAMENTO DOS FRETES]]*4.74,((#REF!/17200)*4.74)*DISTÂNCIA3[[#This Row],[KM PARA PAGAMENTO DOS FRETES]])</f>
        <v>#REF!</v>
      </c>
      <c r="J155" s="4">
        <f>DISTÂNCIA3[[#This Row],[Valor CTE]]/DISTÂNCIA3[[#This Row],[KM PARA PAGAMENTO DOS FRETES]]</f>
        <v>5.6493548387096775</v>
      </c>
      <c r="K155" s="6">
        <f t="shared" si="4"/>
        <v>549.24</v>
      </c>
      <c r="L155" s="6">
        <f>0.92*DISTÂNCIA3[[#This Row],[KM distancia]]*4.578</f>
        <v>326.41140000000001</v>
      </c>
      <c r="M155" s="6">
        <f t="shared" si="5"/>
        <v>875.65</v>
      </c>
    </row>
    <row r="156" spans="1:13" hidden="1" x14ac:dyDescent="0.35">
      <c r="A156">
        <f>'DASE DADOS - DISTANCIA'!A156</f>
        <v>44862</v>
      </c>
      <c r="B156" t="str">
        <f>'DASE DADOS - DISTANCIA'!B156</f>
        <v>LUCAS ANDRE RESENER</v>
      </c>
      <c r="C156" t="str">
        <f>'DASE DADOS - DISTANCIA'!C156</f>
        <v xml:space="preserve"> A1</v>
      </c>
      <c r="D156" t="str">
        <f>'DASE DADOS - DISTANCIA'!E156</f>
        <v>CAPANEMA</v>
      </c>
      <c r="E156" t="str">
        <f>'DASE DADOS - DISTANCIA'!I156</f>
        <v>PLUSVAL</v>
      </c>
      <c r="F156" s="7">
        <v>124</v>
      </c>
      <c r="G156">
        <f>'DASE DADOS - DISTANCIA'!J156</f>
        <v>248</v>
      </c>
      <c r="H156" s="2">
        <v>420</v>
      </c>
      <c r="I156" s="2" t="e">
        <f>IF(#REF!&lt;17200,DISTÂNCIA3[[#This Row],[KM PARA PAGAMENTO DOS FRETES]]*4.74,((#REF!/17200)*4.74)*DISTÂNCIA3[[#This Row],[KM PARA PAGAMENTO DOS FRETES]])</f>
        <v>#REF!</v>
      </c>
      <c r="J156" s="4">
        <f>DISTÂNCIA3[[#This Row],[Valor CTE]]/DISTÂNCIA3[[#This Row],[KM PARA PAGAMENTO DOS FRETES]]</f>
        <v>5.1789112903225805</v>
      </c>
      <c r="K156" s="6">
        <f t="shared" si="4"/>
        <v>762.11</v>
      </c>
      <c r="L156" s="6">
        <f>0.92*DISTÂNCIA3[[#This Row],[KM distancia]]*4.578</f>
        <v>522.25824</v>
      </c>
      <c r="M156" s="6">
        <f t="shared" si="5"/>
        <v>1284.3699999999999</v>
      </c>
    </row>
    <row r="157" spans="1:13" hidden="1" x14ac:dyDescent="0.35">
      <c r="A157">
        <f>'DASE DADOS - DISTANCIA'!A157</f>
        <v>5107601</v>
      </c>
      <c r="B157" t="str">
        <f>'DASE DADOS - DISTANCIA'!B157</f>
        <v>CARLOS ALBERTO MAROCHIO</v>
      </c>
      <c r="C157" t="str">
        <f>'DASE DADOS - DISTANCIA'!C157</f>
        <v xml:space="preserve"> A2</v>
      </c>
      <c r="D157" t="str">
        <f>'DASE DADOS - DISTANCIA'!E157</f>
        <v>ASSIS CHATEAUBRIAND</v>
      </c>
      <c r="E157" t="str">
        <f>'DASE DADOS - DISTANCIA'!I157</f>
        <v>PLUMA</v>
      </c>
      <c r="F157" s="7">
        <v>77.5</v>
      </c>
      <c r="G157">
        <f>'DASE DADOS - DISTANCIA'!J157</f>
        <v>155</v>
      </c>
      <c r="H157" s="2">
        <v>420</v>
      </c>
      <c r="I157" s="2" t="e">
        <f>IF(#REF!&lt;17200,DISTÂNCIA3[[#This Row],[KM PARA PAGAMENTO DOS FRETES]]*4.74,((#REF!/17200)*4.74)*DISTÂNCIA3[[#This Row],[KM PARA PAGAMENTO DOS FRETES]])</f>
        <v>#REF!</v>
      </c>
      <c r="J157" s="4">
        <f>DISTÂNCIA3[[#This Row],[Valor CTE]]/DISTÂNCIA3[[#This Row],[KM PARA PAGAMENTO DOS FRETES]]</f>
        <v>5.6493548387096775</v>
      </c>
      <c r="K157" s="6">
        <f t="shared" si="4"/>
        <v>549.24</v>
      </c>
      <c r="L157" s="6">
        <f>0.92*DISTÂNCIA3[[#This Row],[KM distancia]]*4.578</f>
        <v>326.41140000000001</v>
      </c>
      <c r="M157" s="6">
        <f t="shared" si="5"/>
        <v>875.65</v>
      </c>
    </row>
    <row r="158" spans="1:13" hidden="1" x14ac:dyDescent="0.35">
      <c r="A158">
        <f>'DASE DADOS - DISTANCIA'!A158</f>
        <v>5780454</v>
      </c>
      <c r="B158" t="str">
        <f>'DASE DADOS - DISTANCIA'!B158</f>
        <v>CRISTIANE RITA ADAMCZUK DOS SANTOS</v>
      </c>
      <c r="C158" t="str">
        <f>'DASE DADOS - DISTANCIA'!C158</f>
        <v xml:space="preserve"> A1</v>
      </c>
      <c r="D158" t="str">
        <f>'DASE DADOS - DISTANCIA'!E158</f>
        <v>OURO VERDE DO OESTE</v>
      </c>
      <c r="E158" t="str">
        <f>'DASE DADOS - DISTANCIA'!I158</f>
        <v>PLUMA</v>
      </c>
      <c r="F158" s="7">
        <v>71</v>
      </c>
      <c r="G158">
        <f>'DASE DADOS - DISTANCIA'!J158</f>
        <v>142</v>
      </c>
      <c r="H158" s="2">
        <v>420</v>
      </c>
      <c r="I158" s="2" t="e">
        <f>IF(#REF!&lt;17200,DISTÂNCIA3[[#This Row],[KM PARA PAGAMENTO DOS FRETES]]*4.74,((#REF!/17200)*4.74)*DISTÂNCIA3[[#This Row],[KM PARA PAGAMENTO DOS FRETES]])</f>
        <v>#REF!</v>
      </c>
      <c r="J158" s="4">
        <f>DISTÂNCIA3[[#This Row],[Valor CTE]]/DISTÂNCIA3[[#This Row],[KM PARA PAGAMENTO DOS FRETES]]</f>
        <v>5.7641549295774643</v>
      </c>
      <c r="K158" s="6">
        <f t="shared" si="4"/>
        <v>519.48</v>
      </c>
      <c r="L158" s="6">
        <f>0.92*DISTÂNCIA3[[#This Row],[KM distancia]]*4.578</f>
        <v>299.03496000000007</v>
      </c>
      <c r="M158" s="6">
        <f t="shared" si="5"/>
        <v>818.51</v>
      </c>
    </row>
    <row r="159" spans="1:13" hidden="1" x14ac:dyDescent="0.35">
      <c r="A159">
        <f>'DASE DADOS - DISTANCIA'!A159</f>
        <v>5780454</v>
      </c>
      <c r="B159" t="str">
        <f>'DASE DADOS - DISTANCIA'!B159</f>
        <v>CRISTIANE RITA ADAMCZUK DOS SANTOS</v>
      </c>
      <c r="C159" t="str">
        <f>'DASE DADOS - DISTANCIA'!C159</f>
        <v xml:space="preserve"> A2</v>
      </c>
      <c r="D159" t="str">
        <f>'DASE DADOS - DISTANCIA'!E159</f>
        <v>OURO VERDE DO OESTE</v>
      </c>
      <c r="E159" t="str">
        <f>'DASE DADOS - DISTANCIA'!I159</f>
        <v>PLUMA</v>
      </c>
      <c r="F159" s="7">
        <v>71</v>
      </c>
      <c r="G159">
        <f>'DASE DADOS - DISTANCIA'!J159</f>
        <v>142</v>
      </c>
      <c r="H159" s="2">
        <v>420</v>
      </c>
      <c r="I159" s="2" t="e">
        <f>IF(#REF!&lt;17200,DISTÂNCIA3[[#This Row],[KM PARA PAGAMENTO DOS FRETES]]*4.74,((#REF!/17200)*4.74)*DISTÂNCIA3[[#This Row],[KM PARA PAGAMENTO DOS FRETES]])</f>
        <v>#REF!</v>
      </c>
      <c r="J159" s="4">
        <f>DISTÂNCIA3[[#This Row],[Valor CTE]]/DISTÂNCIA3[[#This Row],[KM PARA PAGAMENTO DOS FRETES]]</f>
        <v>5.7641549295774643</v>
      </c>
      <c r="K159" s="6">
        <f t="shared" si="4"/>
        <v>519.48</v>
      </c>
      <c r="L159" s="6">
        <f>0.92*DISTÂNCIA3[[#This Row],[KM distancia]]*4.578</f>
        <v>299.03496000000007</v>
      </c>
      <c r="M159" s="6">
        <f t="shared" si="5"/>
        <v>818.51</v>
      </c>
    </row>
    <row r="160" spans="1:13" hidden="1" x14ac:dyDescent="0.35">
      <c r="A160">
        <f>'DASE DADOS - DISTANCIA'!A160</f>
        <v>0</v>
      </c>
      <c r="B160" t="str">
        <f>'DASE DADOS - DISTANCIA'!B160</f>
        <v>BENTO LOFFI</v>
      </c>
      <c r="C160" t="str">
        <f>'DASE DADOS - DISTANCIA'!C160</f>
        <v xml:space="preserve"> A2</v>
      </c>
      <c r="D160" t="str">
        <f>'DASE DADOS - DISTANCIA'!E160</f>
        <v>MERCEDES</v>
      </c>
      <c r="E160" t="str">
        <f>'DASE DADOS - DISTANCIA'!I160</f>
        <v>PLUMA</v>
      </c>
      <c r="F160" s="7">
        <v>121</v>
      </c>
      <c r="G160">
        <f>'DASE DADOS - DISTANCIA'!J160</f>
        <v>242</v>
      </c>
      <c r="H160" s="2">
        <v>420</v>
      </c>
      <c r="I160" s="2" t="e">
        <f>IF(#REF!&lt;17200,DISTÂNCIA3[[#This Row],[KM PARA PAGAMENTO DOS FRETES]]*4.74,((#REF!/17200)*4.74)*DISTÂNCIA3[[#This Row],[KM PARA PAGAMENTO DOS FRETES]])</f>
        <v>#REF!</v>
      </c>
      <c r="J160" s="4">
        <f>DISTÂNCIA3[[#This Row],[Valor CTE]]/DISTÂNCIA3[[#This Row],[KM PARA PAGAMENTO DOS FRETES]]</f>
        <v>5.1983471074380168</v>
      </c>
      <c r="K160" s="6">
        <f t="shared" si="4"/>
        <v>748.38</v>
      </c>
      <c r="L160" s="6">
        <f>0.92*DISTÂNCIA3[[#This Row],[KM distancia]]*4.578</f>
        <v>509.62296000000009</v>
      </c>
      <c r="M160" s="6">
        <f t="shared" si="5"/>
        <v>1258</v>
      </c>
    </row>
    <row r="161" spans="1:13" hidden="1" x14ac:dyDescent="0.35">
      <c r="A161">
        <f>'DASE DADOS - DISTANCIA'!A161</f>
        <v>40657</v>
      </c>
      <c r="B161" t="str">
        <f>'DASE DADOS - DISTANCIA'!B161</f>
        <v>CLARICE ROMAN</v>
      </c>
      <c r="C161" t="str">
        <f>'DASE DADOS - DISTANCIA'!C161</f>
        <v xml:space="preserve"> A1</v>
      </c>
      <c r="D161" t="str">
        <f>'DASE DADOS - DISTANCIA'!E161</f>
        <v>CAPANEMA</v>
      </c>
      <c r="E161" t="str">
        <f>'DASE DADOS - DISTANCIA'!I161</f>
        <v>PLUSVAL</v>
      </c>
      <c r="F161" s="7">
        <v>117</v>
      </c>
      <c r="G161">
        <f>'DASE DADOS - DISTANCIA'!J161</f>
        <v>234</v>
      </c>
      <c r="H161" s="2">
        <v>420</v>
      </c>
      <c r="I161" s="2" t="e">
        <f>IF(#REF!&lt;17200,DISTÂNCIA3[[#This Row],[KM PARA PAGAMENTO DOS FRETES]]*4.74,((#REF!/17200)*4.74)*DISTÂNCIA3[[#This Row],[KM PARA PAGAMENTO DOS FRETES]])</f>
        <v>#REF!</v>
      </c>
      <c r="J161" s="4">
        <f>DISTÂNCIA3[[#This Row],[Valor CTE]]/DISTÂNCIA3[[#This Row],[KM PARA PAGAMENTO DOS FRETES]]</f>
        <v>5.2258119658119657</v>
      </c>
      <c r="K161" s="6">
        <f t="shared" si="4"/>
        <v>730.07</v>
      </c>
      <c r="L161" s="6">
        <f>0.92*DISTÂNCIA3[[#This Row],[KM distancia]]*4.578</f>
        <v>492.77592000000004</v>
      </c>
      <c r="M161" s="6">
        <f t="shared" si="5"/>
        <v>1222.8399999999999</v>
      </c>
    </row>
    <row r="162" spans="1:13" hidden="1" x14ac:dyDescent="0.35">
      <c r="A162">
        <f>'DASE DADOS - DISTANCIA'!A162</f>
        <v>0</v>
      </c>
      <c r="B162" t="str">
        <f>'DASE DADOS - DISTANCIA'!B162</f>
        <v>BENTO LOFFI</v>
      </c>
      <c r="C162" t="str">
        <f>'DASE DADOS - DISTANCIA'!C162</f>
        <v xml:space="preserve"> A1</v>
      </c>
      <c r="D162" t="str">
        <f>'DASE DADOS - DISTANCIA'!E162</f>
        <v>MERCEDES</v>
      </c>
      <c r="E162" t="str">
        <f>'DASE DADOS - DISTANCIA'!I162</f>
        <v>PLUMA</v>
      </c>
      <c r="F162" s="7">
        <v>121</v>
      </c>
      <c r="G162">
        <f>'DASE DADOS - DISTANCIA'!J162</f>
        <v>242</v>
      </c>
      <c r="H162" s="2">
        <v>420</v>
      </c>
      <c r="I162" s="2" t="e">
        <f>IF(#REF!&lt;17200,DISTÂNCIA3[[#This Row],[KM PARA PAGAMENTO DOS FRETES]]*4.74,((#REF!/17200)*4.74)*DISTÂNCIA3[[#This Row],[KM PARA PAGAMENTO DOS FRETES]])</f>
        <v>#REF!</v>
      </c>
      <c r="J162" s="4">
        <f>DISTÂNCIA3[[#This Row],[Valor CTE]]/DISTÂNCIA3[[#This Row],[KM PARA PAGAMENTO DOS FRETES]]</f>
        <v>5.1983471074380168</v>
      </c>
      <c r="K162" s="6">
        <f t="shared" si="4"/>
        <v>748.38</v>
      </c>
      <c r="L162" s="6">
        <f>0.92*DISTÂNCIA3[[#This Row],[KM distancia]]*4.578</f>
        <v>509.62296000000009</v>
      </c>
      <c r="M162" s="6">
        <f t="shared" si="5"/>
        <v>1258</v>
      </c>
    </row>
    <row r="163" spans="1:13" hidden="1" x14ac:dyDescent="0.35">
      <c r="A163">
        <f>'DASE DADOS - DISTANCIA'!A163</f>
        <v>40657</v>
      </c>
      <c r="B163" t="str">
        <f>'DASE DADOS - DISTANCIA'!B163</f>
        <v>CLARICE ROMAN</v>
      </c>
      <c r="C163" t="str">
        <f>'DASE DADOS - DISTANCIA'!C163</f>
        <v xml:space="preserve"> A2</v>
      </c>
      <c r="D163" t="str">
        <f>'DASE DADOS - DISTANCIA'!E163</f>
        <v>CAPANEMA</v>
      </c>
      <c r="E163" t="str">
        <f>'DASE DADOS - DISTANCIA'!I163</f>
        <v>PLUSVAL</v>
      </c>
      <c r="F163" s="7">
        <v>117</v>
      </c>
      <c r="G163">
        <f>'DASE DADOS - DISTANCIA'!J163</f>
        <v>234</v>
      </c>
      <c r="H163" s="2">
        <v>420</v>
      </c>
      <c r="I163" s="2" t="e">
        <f>IF(#REF!&lt;17200,DISTÂNCIA3[[#This Row],[KM PARA PAGAMENTO DOS FRETES]]*4.74,((#REF!/17200)*4.74)*DISTÂNCIA3[[#This Row],[KM PARA PAGAMENTO DOS FRETES]])</f>
        <v>#REF!</v>
      </c>
      <c r="J163" s="4">
        <f>DISTÂNCIA3[[#This Row],[Valor CTE]]/DISTÂNCIA3[[#This Row],[KM PARA PAGAMENTO DOS FRETES]]</f>
        <v>5.2258119658119657</v>
      </c>
      <c r="K163" s="6">
        <f t="shared" si="4"/>
        <v>730.07</v>
      </c>
      <c r="L163" s="6">
        <f>0.92*DISTÂNCIA3[[#This Row],[KM distancia]]*4.578</f>
        <v>492.77592000000004</v>
      </c>
      <c r="M163" s="6">
        <f t="shared" si="5"/>
        <v>1222.8399999999999</v>
      </c>
    </row>
    <row r="164" spans="1:13" hidden="1" x14ac:dyDescent="0.35">
      <c r="A164">
        <f>'DASE DADOS - DISTANCIA'!A164</f>
        <v>0</v>
      </c>
      <c r="B164" t="str">
        <f>'DASE DADOS - DISTANCIA'!B164</f>
        <v>BENTO LOFFI</v>
      </c>
      <c r="C164" t="str">
        <f>'DASE DADOS - DISTANCIA'!C164</f>
        <v xml:space="preserve"> A3</v>
      </c>
      <c r="D164" t="str">
        <f>'DASE DADOS - DISTANCIA'!E164</f>
        <v>MERCEDES</v>
      </c>
      <c r="E164" t="str">
        <f>'DASE DADOS - DISTANCIA'!I164</f>
        <v>PLUMA</v>
      </c>
      <c r="F164" s="7">
        <v>121</v>
      </c>
      <c r="G164">
        <f>'DASE DADOS - DISTANCIA'!J164</f>
        <v>242</v>
      </c>
      <c r="H164" s="2">
        <v>420</v>
      </c>
      <c r="I164" s="2" t="e">
        <f>IF(#REF!&lt;17200,DISTÂNCIA3[[#This Row],[KM PARA PAGAMENTO DOS FRETES]]*4.74,((#REF!/17200)*4.74)*DISTÂNCIA3[[#This Row],[KM PARA PAGAMENTO DOS FRETES]])</f>
        <v>#REF!</v>
      </c>
      <c r="J164" s="4">
        <f>DISTÂNCIA3[[#This Row],[Valor CTE]]/DISTÂNCIA3[[#This Row],[KM PARA PAGAMENTO DOS FRETES]]</f>
        <v>5.1983471074380168</v>
      </c>
      <c r="K164" s="6">
        <f t="shared" si="4"/>
        <v>748.38</v>
      </c>
      <c r="L164" s="6">
        <f>0.92*DISTÂNCIA3[[#This Row],[KM distancia]]*4.578</f>
        <v>509.62296000000009</v>
      </c>
      <c r="M164" s="6">
        <f t="shared" si="5"/>
        <v>1258</v>
      </c>
    </row>
    <row r="165" spans="1:13" hidden="1" x14ac:dyDescent="0.35">
      <c r="A165">
        <f>'DASE DADOS - DISTANCIA'!A165</f>
        <v>40657</v>
      </c>
      <c r="B165" t="str">
        <f>'DASE DADOS - DISTANCIA'!B165</f>
        <v>CLARICE ROMAN</v>
      </c>
      <c r="C165" t="str">
        <f>'DASE DADOS - DISTANCIA'!C165</f>
        <v xml:space="preserve"> A3</v>
      </c>
      <c r="D165" t="str">
        <f>'DASE DADOS - DISTANCIA'!E165</f>
        <v>CAPANEMA</v>
      </c>
      <c r="E165" t="str">
        <f>'DASE DADOS - DISTANCIA'!I165</f>
        <v>PLUSVAL</v>
      </c>
      <c r="F165" s="7">
        <v>117</v>
      </c>
      <c r="G165">
        <f>'DASE DADOS - DISTANCIA'!J165</f>
        <v>234</v>
      </c>
      <c r="H165" s="2">
        <v>420</v>
      </c>
      <c r="I165" s="2" t="e">
        <f>IF(#REF!&lt;17200,DISTÂNCIA3[[#This Row],[KM PARA PAGAMENTO DOS FRETES]]*4.74,((#REF!/17200)*4.74)*DISTÂNCIA3[[#This Row],[KM PARA PAGAMENTO DOS FRETES]])</f>
        <v>#REF!</v>
      </c>
      <c r="J165" s="4">
        <f>DISTÂNCIA3[[#This Row],[Valor CTE]]/DISTÂNCIA3[[#This Row],[KM PARA PAGAMENTO DOS FRETES]]</f>
        <v>5.2258119658119657</v>
      </c>
      <c r="K165" s="6">
        <f t="shared" si="4"/>
        <v>730.07</v>
      </c>
      <c r="L165" s="6">
        <f>0.92*DISTÂNCIA3[[#This Row],[KM distancia]]*4.578</f>
        <v>492.77592000000004</v>
      </c>
      <c r="M165" s="6">
        <f t="shared" si="5"/>
        <v>1222.8399999999999</v>
      </c>
    </row>
    <row r="166" spans="1:13" hidden="1" x14ac:dyDescent="0.35">
      <c r="A166">
        <f>'DASE DADOS - DISTANCIA'!A166</f>
        <v>44662</v>
      </c>
      <c r="B166" t="str">
        <f>'DASE DADOS - DISTANCIA'!B166</f>
        <v>CLAIRTON DAL PIVA</v>
      </c>
      <c r="C166" t="str">
        <f>'DASE DADOS - DISTANCIA'!C166</f>
        <v xml:space="preserve"> A1</v>
      </c>
      <c r="D166" t="str">
        <f>'DASE DADOS - DISTANCIA'!E166</f>
        <v>CAPANEMA</v>
      </c>
      <c r="E166" t="str">
        <f>'DASE DADOS - DISTANCIA'!I166</f>
        <v>PLUSVAL</v>
      </c>
      <c r="F166" s="7">
        <v>122.5</v>
      </c>
      <c r="G166">
        <f>'DASE DADOS - DISTANCIA'!J166</f>
        <v>245</v>
      </c>
      <c r="H166" s="2">
        <v>420</v>
      </c>
      <c r="I166" s="2" t="e">
        <f>IF(#REF!&lt;17200,DISTÂNCIA3[[#This Row],[KM PARA PAGAMENTO DOS FRETES]]*4.74,((#REF!/17200)*4.74)*DISTÂNCIA3[[#This Row],[KM PARA PAGAMENTO DOS FRETES]])</f>
        <v>#REF!</v>
      </c>
      <c r="J166" s="4">
        <f>DISTÂNCIA3[[#This Row],[Valor CTE]]/DISTÂNCIA3[[#This Row],[KM PARA PAGAMENTO DOS FRETES]]</f>
        <v>5.1885306122448984</v>
      </c>
      <c r="K166" s="6">
        <f t="shared" si="4"/>
        <v>755.25</v>
      </c>
      <c r="L166" s="6">
        <f>0.92*DISTÂNCIA3[[#This Row],[KM distancia]]*4.578</f>
        <v>515.94060000000002</v>
      </c>
      <c r="M166" s="6">
        <f t="shared" si="5"/>
        <v>1271.19</v>
      </c>
    </row>
    <row r="167" spans="1:13" hidden="1" x14ac:dyDescent="0.35">
      <c r="A167">
        <f>'DASE DADOS - DISTANCIA'!A167</f>
        <v>29949</v>
      </c>
      <c r="B167" t="str">
        <f>'DASE DADOS - DISTANCIA'!B167</f>
        <v>CLEI JANIR ROSO</v>
      </c>
      <c r="C167" t="str">
        <f>'DASE DADOS - DISTANCIA'!C167</f>
        <v xml:space="preserve"> A1</v>
      </c>
      <c r="D167" t="str">
        <f>'DASE DADOS - DISTANCIA'!E167</f>
        <v>CAPANEMA</v>
      </c>
      <c r="E167" t="str">
        <f>'DASE DADOS - DISTANCIA'!I167</f>
        <v>PLUSVAL</v>
      </c>
      <c r="F167" s="7">
        <v>121</v>
      </c>
      <c r="G167">
        <f>'DASE DADOS - DISTANCIA'!J167</f>
        <v>242</v>
      </c>
      <c r="H167" s="2">
        <v>420</v>
      </c>
      <c r="I167" s="2" t="e">
        <f>IF(#REF!&lt;17200,DISTÂNCIA3[[#This Row],[KM PARA PAGAMENTO DOS FRETES]]*4.74,((#REF!/17200)*4.74)*DISTÂNCIA3[[#This Row],[KM PARA PAGAMENTO DOS FRETES]])</f>
        <v>#REF!</v>
      </c>
      <c r="J167" s="4">
        <f>DISTÂNCIA3[[#This Row],[Valor CTE]]/DISTÂNCIA3[[#This Row],[KM PARA PAGAMENTO DOS FRETES]]</f>
        <v>5.1983471074380168</v>
      </c>
      <c r="K167" s="6">
        <f t="shared" si="4"/>
        <v>748.38</v>
      </c>
      <c r="L167" s="6">
        <f>0.92*DISTÂNCIA3[[#This Row],[KM distancia]]*4.578</f>
        <v>509.62296000000009</v>
      </c>
      <c r="M167" s="6">
        <f t="shared" si="5"/>
        <v>1258</v>
      </c>
    </row>
    <row r="168" spans="1:13" hidden="1" x14ac:dyDescent="0.35">
      <c r="A168">
        <f>'DASE DADOS - DISTANCIA'!A168</f>
        <v>44662</v>
      </c>
      <c r="B168" t="str">
        <f>'DASE DADOS - DISTANCIA'!B168</f>
        <v>CLAIRTON DAL PIVA</v>
      </c>
      <c r="C168" t="str">
        <f>'DASE DADOS - DISTANCIA'!C168</f>
        <v xml:space="preserve"> A2</v>
      </c>
      <c r="D168" t="str">
        <f>'DASE DADOS - DISTANCIA'!E168</f>
        <v>CAPANEMA</v>
      </c>
      <c r="E168" t="str">
        <f>'DASE DADOS - DISTANCIA'!I168</f>
        <v>PLUSVAL</v>
      </c>
      <c r="F168" s="7">
        <v>122.5</v>
      </c>
      <c r="G168">
        <f>'DASE DADOS - DISTANCIA'!J168</f>
        <v>245</v>
      </c>
      <c r="H168" s="2">
        <v>420</v>
      </c>
      <c r="I168" s="2" t="e">
        <f>IF(#REF!&lt;17200,DISTÂNCIA3[[#This Row],[KM PARA PAGAMENTO DOS FRETES]]*4.74,((#REF!/17200)*4.74)*DISTÂNCIA3[[#This Row],[KM PARA PAGAMENTO DOS FRETES]])</f>
        <v>#REF!</v>
      </c>
      <c r="J168" s="4">
        <f>DISTÂNCIA3[[#This Row],[Valor CTE]]/DISTÂNCIA3[[#This Row],[KM PARA PAGAMENTO DOS FRETES]]</f>
        <v>5.1885306122448984</v>
      </c>
      <c r="K168" s="6">
        <f t="shared" si="4"/>
        <v>755.25</v>
      </c>
      <c r="L168" s="6">
        <f>0.92*DISTÂNCIA3[[#This Row],[KM distancia]]*4.578</f>
        <v>515.94060000000002</v>
      </c>
      <c r="M168" s="6">
        <f t="shared" si="5"/>
        <v>1271.19</v>
      </c>
    </row>
    <row r="169" spans="1:13" hidden="1" x14ac:dyDescent="0.35">
      <c r="A169">
        <f>'DASE DADOS - DISTANCIA'!A169</f>
        <v>29951</v>
      </c>
      <c r="B169" t="str">
        <f>'DASE DADOS - DISTANCIA'!B169</f>
        <v>DIRCEU HILARIO HANEL</v>
      </c>
      <c r="C169" t="str">
        <f>'DASE DADOS - DISTANCIA'!C169</f>
        <v xml:space="preserve"> A1</v>
      </c>
      <c r="D169" t="str">
        <f>'DASE DADOS - DISTANCIA'!E169</f>
        <v>TRÊS BARRAS DO PARANÁ</v>
      </c>
      <c r="E169" t="str">
        <f>'DASE DADOS - DISTANCIA'!I169</f>
        <v>PLUSVAL</v>
      </c>
      <c r="F169" s="7">
        <v>103</v>
      </c>
      <c r="G169">
        <f>'DASE DADOS - DISTANCIA'!J169</f>
        <v>206</v>
      </c>
      <c r="H169" s="2">
        <v>420</v>
      </c>
      <c r="I169" s="2" t="e">
        <f>IF(#REF!&lt;17200,DISTÂNCIA3[[#This Row],[KM PARA PAGAMENTO DOS FRETES]]*4.74,((#REF!/17200)*4.74)*DISTÂNCIA3[[#This Row],[KM PARA PAGAMENTO DOS FRETES]])</f>
        <v>#REF!</v>
      </c>
      <c r="J169" s="4">
        <f>DISTÂNCIA3[[#This Row],[Valor CTE]]/DISTÂNCIA3[[#This Row],[KM PARA PAGAMENTO DOS FRETES]]</f>
        <v>5.3387864077669898</v>
      </c>
      <c r="K169" s="6">
        <f t="shared" si="4"/>
        <v>665.97</v>
      </c>
      <c r="L169" s="6">
        <f>0.92*DISTÂNCIA3[[#This Row],[KM distancia]]*4.578</f>
        <v>433.81128000000007</v>
      </c>
      <c r="M169" s="6">
        <f t="shared" si="5"/>
        <v>1099.79</v>
      </c>
    </row>
    <row r="170" spans="1:13" hidden="1" x14ac:dyDescent="0.35">
      <c r="A170">
        <f>'DASE DADOS - DISTANCIA'!A170</f>
        <v>5345790</v>
      </c>
      <c r="B170" t="str">
        <f>'DASE DADOS - DISTANCIA'!B170</f>
        <v>CLAITON FELIPE SEIBERT</v>
      </c>
      <c r="C170" t="str">
        <f>'DASE DADOS - DISTANCIA'!C170</f>
        <v xml:space="preserve"> A1</v>
      </c>
      <c r="D170" t="str">
        <f>'DASE DADOS - DISTANCIA'!E170</f>
        <v>TOLEDO</v>
      </c>
      <c r="E170" t="str">
        <f>'DASE DADOS - DISTANCIA'!I170</f>
        <v>PLUMA</v>
      </c>
      <c r="F170" s="7">
        <v>69</v>
      </c>
      <c r="G170">
        <f>'DASE DADOS - DISTANCIA'!J170</f>
        <v>138</v>
      </c>
      <c r="H170" s="2">
        <v>420</v>
      </c>
      <c r="I170" s="2" t="e">
        <f>IF(#REF!&lt;17200,DISTÂNCIA3[[#This Row],[KM PARA PAGAMENTO DOS FRETES]]*4.74,((#REF!/17200)*4.74)*DISTÂNCIA3[[#This Row],[KM PARA PAGAMENTO DOS FRETES]])</f>
        <v>#REF!</v>
      </c>
      <c r="J170" s="4">
        <f>DISTÂNCIA3[[#This Row],[Valor CTE]]/DISTÂNCIA3[[#This Row],[KM PARA PAGAMENTO DOS FRETES]]</f>
        <v>5.8038405797101449</v>
      </c>
      <c r="K170" s="6">
        <f t="shared" si="4"/>
        <v>510.32</v>
      </c>
      <c r="L170" s="6">
        <f>0.92*DISTÂNCIA3[[#This Row],[KM distancia]]*4.578</f>
        <v>290.61144000000002</v>
      </c>
      <c r="M170" s="6">
        <f t="shared" si="5"/>
        <v>800.93</v>
      </c>
    </row>
    <row r="171" spans="1:13" hidden="1" x14ac:dyDescent="0.35">
      <c r="A171">
        <f>'DASE DADOS - DISTANCIA'!A171</f>
        <v>29952</v>
      </c>
      <c r="B171" t="str">
        <f>'DASE DADOS - DISTANCIA'!B171</f>
        <v>EDENILSO ROSO</v>
      </c>
      <c r="C171" t="str">
        <f>'DASE DADOS - DISTANCIA'!C171</f>
        <v xml:space="preserve"> A1</v>
      </c>
      <c r="D171" t="str">
        <f>'DASE DADOS - DISTANCIA'!E171</f>
        <v>CAPANEMA</v>
      </c>
      <c r="E171" t="str">
        <f>'DASE DADOS - DISTANCIA'!I171</f>
        <v>PLUSVAL</v>
      </c>
      <c r="F171" s="7">
        <v>121</v>
      </c>
      <c r="G171">
        <f>'DASE DADOS - DISTANCIA'!J171</f>
        <v>242</v>
      </c>
      <c r="H171" s="2">
        <v>420</v>
      </c>
      <c r="I171" s="2" t="e">
        <f>IF(#REF!&lt;17200,DISTÂNCIA3[[#This Row],[KM PARA PAGAMENTO DOS FRETES]]*4.74,((#REF!/17200)*4.74)*DISTÂNCIA3[[#This Row],[KM PARA PAGAMENTO DOS FRETES]])</f>
        <v>#REF!</v>
      </c>
      <c r="J171" s="4">
        <f>DISTÂNCIA3[[#This Row],[Valor CTE]]/DISTÂNCIA3[[#This Row],[KM PARA PAGAMENTO DOS FRETES]]</f>
        <v>5.1983471074380168</v>
      </c>
      <c r="K171" s="6">
        <f t="shared" si="4"/>
        <v>748.38</v>
      </c>
      <c r="L171" s="6">
        <f>0.92*DISTÂNCIA3[[#This Row],[KM distancia]]*4.578</f>
        <v>509.62296000000009</v>
      </c>
      <c r="M171" s="6">
        <f t="shared" si="5"/>
        <v>1258</v>
      </c>
    </row>
    <row r="172" spans="1:13" hidden="1" x14ac:dyDescent="0.35">
      <c r="A172">
        <f>'DASE DADOS - DISTANCIA'!A172</f>
        <v>30075</v>
      </c>
      <c r="B172" t="str">
        <f>'DASE DADOS - DISTANCIA'!B172</f>
        <v>CLARI FONTANELLA RAMOS</v>
      </c>
      <c r="C172" t="str">
        <f>'DASE DADOS - DISTANCIA'!C172</f>
        <v xml:space="preserve"> A2</v>
      </c>
      <c r="D172" t="str">
        <f>'DASE DADOS - DISTANCIA'!E172</f>
        <v>SANTO ANTÔNIO DO SUDOESTE</v>
      </c>
      <c r="E172" t="str">
        <f>'DASE DADOS - DISTANCIA'!I172</f>
        <v>PLUSVAL</v>
      </c>
      <c r="F172" s="7">
        <v>157.5</v>
      </c>
      <c r="G172">
        <f>'DASE DADOS - DISTANCIA'!J172</f>
        <v>315</v>
      </c>
      <c r="H172" s="2">
        <v>420</v>
      </c>
      <c r="I172" s="2" t="e">
        <f>IF(#REF!&lt;17200,DISTÂNCIA3[[#This Row],[KM PARA PAGAMENTO DOS FRETES]]*4.74,((#REF!/17200)*4.74)*DISTÂNCIA3[[#This Row],[KM PARA PAGAMENTO DOS FRETES]])</f>
        <v>#REF!</v>
      </c>
      <c r="J172" s="4">
        <f>DISTÂNCIA3[[#This Row],[Valor CTE]]/DISTÂNCIA3[[#This Row],[KM PARA PAGAMENTO DOS FRETES]]</f>
        <v>5.0121587301587303</v>
      </c>
      <c r="K172" s="6">
        <f t="shared" si="4"/>
        <v>915.48</v>
      </c>
      <c r="L172" s="6">
        <f>0.92*DISTÂNCIA3[[#This Row],[KM distancia]]*4.578</f>
        <v>663.35220000000004</v>
      </c>
      <c r="M172" s="6">
        <f t="shared" si="5"/>
        <v>1578.83</v>
      </c>
    </row>
    <row r="173" spans="1:13" hidden="1" x14ac:dyDescent="0.35">
      <c r="A173">
        <f>'DASE DADOS - DISTANCIA'!A173</f>
        <v>709611</v>
      </c>
      <c r="B173" t="str">
        <f>'DASE DADOS - DISTANCIA'!B173</f>
        <v>EDUARDO MARTINELO DA ROSA</v>
      </c>
      <c r="C173" t="str">
        <f>'DASE DADOS - DISTANCIA'!C173</f>
        <v xml:space="preserve"> A1</v>
      </c>
      <c r="D173" t="str">
        <f>'DASE DADOS - DISTANCIA'!E173</f>
        <v>CAPANEMA</v>
      </c>
      <c r="E173" t="str">
        <f>'DASE DADOS - DISTANCIA'!I173</f>
        <v>PLUSVAL</v>
      </c>
      <c r="F173" s="7">
        <v>125</v>
      </c>
      <c r="G173">
        <f>'DASE DADOS - DISTANCIA'!J173</f>
        <v>250</v>
      </c>
      <c r="H173" s="2">
        <v>420</v>
      </c>
      <c r="I173" s="2" t="e">
        <f>IF(#REF!&lt;17200,DISTÂNCIA3[[#This Row],[KM PARA PAGAMENTO DOS FRETES]]*4.74,((#REF!/17200)*4.74)*DISTÂNCIA3[[#This Row],[KM PARA PAGAMENTO DOS FRETES]])</f>
        <v>#REF!</v>
      </c>
      <c r="J173" s="4">
        <f>DISTÂNCIA3[[#This Row],[Valor CTE]]/DISTÂNCIA3[[#This Row],[KM PARA PAGAMENTO DOS FRETES]]</f>
        <v>5.1726400000000003</v>
      </c>
      <c r="K173" s="6">
        <f t="shared" si="4"/>
        <v>766.69</v>
      </c>
      <c r="L173" s="6">
        <f>0.92*DISTÂNCIA3[[#This Row],[KM distancia]]*4.578</f>
        <v>526.47</v>
      </c>
      <c r="M173" s="6">
        <f t="shared" si="5"/>
        <v>1293.1600000000001</v>
      </c>
    </row>
    <row r="174" spans="1:13" hidden="1" x14ac:dyDescent="0.35">
      <c r="A174">
        <f>'DASE DADOS - DISTANCIA'!A174</f>
        <v>30075</v>
      </c>
      <c r="B174" t="str">
        <f>'DASE DADOS - DISTANCIA'!B174</f>
        <v>CLARI FONTANELLA RAMOS</v>
      </c>
      <c r="C174" t="str">
        <f>'DASE DADOS - DISTANCIA'!C174</f>
        <v xml:space="preserve"> A1</v>
      </c>
      <c r="D174" t="str">
        <f>'DASE DADOS - DISTANCIA'!E174</f>
        <v>SANTO ANTÔNIO DO SUDOESTE</v>
      </c>
      <c r="E174" t="str">
        <f>'DASE DADOS - DISTANCIA'!I174</f>
        <v>PLUSVAL</v>
      </c>
      <c r="F174" s="7">
        <v>157.5</v>
      </c>
      <c r="G174">
        <f>'DASE DADOS - DISTANCIA'!J174</f>
        <v>315</v>
      </c>
      <c r="H174" s="2">
        <v>420</v>
      </c>
      <c r="I174" s="2" t="e">
        <f>IF(#REF!&lt;17200,DISTÂNCIA3[[#This Row],[KM PARA PAGAMENTO DOS FRETES]]*4.74,((#REF!/17200)*4.74)*DISTÂNCIA3[[#This Row],[KM PARA PAGAMENTO DOS FRETES]])</f>
        <v>#REF!</v>
      </c>
      <c r="J174" s="4">
        <f>DISTÂNCIA3[[#This Row],[Valor CTE]]/DISTÂNCIA3[[#This Row],[KM PARA PAGAMENTO DOS FRETES]]</f>
        <v>5.0121587301587303</v>
      </c>
      <c r="K174" s="6">
        <f t="shared" si="4"/>
        <v>915.48</v>
      </c>
      <c r="L174" s="6">
        <f>0.92*DISTÂNCIA3[[#This Row],[KM distancia]]*4.578</f>
        <v>663.35220000000004</v>
      </c>
      <c r="M174" s="6">
        <f t="shared" si="5"/>
        <v>1578.83</v>
      </c>
    </row>
    <row r="175" spans="1:13" hidden="1" x14ac:dyDescent="0.35">
      <c r="A175">
        <f>'DASE DADOS - DISTANCIA'!A175</f>
        <v>710466</v>
      </c>
      <c r="B175" t="str">
        <f>'DASE DADOS - DISTANCIA'!B175</f>
        <v>EGUEMAR DA ROSA</v>
      </c>
      <c r="C175" t="str">
        <f>'DASE DADOS - DISTANCIA'!C175</f>
        <v xml:space="preserve"> A1</v>
      </c>
      <c r="D175" t="str">
        <f>'DASE DADOS - DISTANCIA'!E175</f>
        <v>CAPANEMA</v>
      </c>
      <c r="E175" t="str">
        <f>'DASE DADOS - DISTANCIA'!I175</f>
        <v>PLUSVAL</v>
      </c>
      <c r="F175" s="7">
        <v>125</v>
      </c>
      <c r="G175">
        <f>'DASE DADOS - DISTANCIA'!J175</f>
        <v>250</v>
      </c>
      <c r="H175" s="2">
        <v>420</v>
      </c>
      <c r="I175" s="2" t="e">
        <f>IF(#REF!&lt;17200,DISTÂNCIA3[[#This Row],[KM PARA PAGAMENTO DOS FRETES]]*4.74,((#REF!/17200)*4.74)*DISTÂNCIA3[[#This Row],[KM PARA PAGAMENTO DOS FRETES]])</f>
        <v>#REF!</v>
      </c>
      <c r="J175" s="4">
        <f>DISTÂNCIA3[[#This Row],[Valor CTE]]/DISTÂNCIA3[[#This Row],[KM PARA PAGAMENTO DOS FRETES]]</f>
        <v>5.1726400000000003</v>
      </c>
      <c r="K175" s="6">
        <f t="shared" si="4"/>
        <v>766.69</v>
      </c>
      <c r="L175" s="6">
        <f>0.92*DISTÂNCIA3[[#This Row],[KM distancia]]*4.578</f>
        <v>526.47</v>
      </c>
      <c r="M175" s="6">
        <f t="shared" si="5"/>
        <v>1293.1600000000001</v>
      </c>
    </row>
    <row r="176" spans="1:13" hidden="1" x14ac:dyDescent="0.35">
      <c r="A176">
        <f>'DASE DADOS - DISTANCIA'!A176</f>
        <v>30041</v>
      </c>
      <c r="B176" t="str">
        <f>'DASE DADOS - DISTANCIA'!B176</f>
        <v>ENERCI FIORENTINO MAZURANA</v>
      </c>
      <c r="C176" t="str">
        <f>'DASE DADOS - DISTANCIA'!C176</f>
        <v xml:space="preserve"> A1</v>
      </c>
      <c r="D176" t="str">
        <f>'DASE DADOS - DISTANCIA'!E176</f>
        <v>TRÊS BARRAS DO PARANÁ</v>
      </c>
      <c r="E176" t="str">
        <f>'DASE DADOS - DISTANCIA'!I176</f>
        <v>PLUSVAL</v>
      </c>
      <c r="F176" s="7">
        <v>102</v>
      </c>
      <c r="G176">
        <f>'DASE DADOS - DISTANCIA'!J176</f>
        <v>204</v>
      </c>
      <c r="H176" s="2">
        <v>420</v>
      </c>
      <c r="I176" s="2" t="e">
        <f>IF(#REF!&lt;17200,DISTÂNCIA3[[#This Row],[KM PARA PAGAMENTO DOS FRETES]]*4.74,((#REF!/17200)*4.74)*DISTÂNCIA3[[#This Row],[KM PARA PAGAMENTO DOS FRETES]])</f>
        <v>#REF!</v>
      </c>
      <c r="J176" s="4">
        <f>DISTÂNCIA3[[#This Row],[Valor CTE]]/DISTÂNCIA3[[#This Row],[KM PARA PAGAMENTO DOS FRETES]]</f>
        <v>5.3480392156862742</v>
      </c>
      <c r="K176" s="6">
        <f t="shared" si="4"/>
        <v>661.4</v>
      </c>
      <c r="L176" s="6">
        <f>0.92*DISTÂNCIA3[[#This Row],[KM distancia]]*4.578</f>
        <v>429.59952000000004</v>
      </c>
      <c r="M176" s="6">
        <f t="shared" si="5"/>
        <v>1091</v>
      </c>
    </row>
    <row r="177" spans="1:13" hidden="1" x14ac:dyDescent="0.35">
      <c r="A177">
        <f>'DASE DADOS - DISTANCIA'!A177</f>
        <v>29898</v>
      </c>
      <c r="B177" t="str">
        <f>'DASE DADOS - DISTANCIA'!B177</f>
        <v>HELIO SALVALAGGIO</v>
      </c>
      <c r="C177" t="str">
        <f>'DASE DADOS - DISTANCIA'!C177</f>
        <v xml:space="preserve"> A1</v>
      </c>
      <c r="D177" t="str">
        <f>'DASE DADOS - DISTANCIA'!E177</f>
        <v>CAPANEMA</v>
      </c>
      <c r="E177" t="str">
        <f>'DASE DADOS - DISTANCIA'!I177</f>
        <v>PLUSVAL</v>
      </c>
      <c r="F177" s="7">
        <v>120</v>
      </c>
      <c r="G177">
        <f>'DASE DADOS - DISTANCIA'!J177</f>
        <v>240</v>
      </c>
      <c r="H177" s="2">
        <v>420</v>
      </c>
      <c r="I177" s="2" t="e">
        <f>IF(#REF!&lt;17200,DISTÂNCIA3[[#This Row],[KM PARA PAGAMENTO DOS FRETES]]*4.74,((#REF!/17200)*4.74)*DISTÂNCIA3[[#This Row],[KM PARA PAGAMENTO DOS FRETES]])</f>
        <v>#REF!</v>
      </c>
      <c r="J177" s="4">
        <f>DISTÂNCIA3[[#This Row],[Valor CTE]]/DISTÂNCIA3[[#This Row],[KM PARA PAGAMENTO DOS FRETES]]</f>
        <v>5.2050416666666672</v>
      </c>
      <c r="K177" s="6">
        <f t="shared" si="4"/>
        <v>743.8</v>
      </c>
      <c r="L177" s="6">
        <f>0.92*DISTÂNCIA3[[#This Row],[KM distancia]]*4.578</f>
        <v>505.41120000000006</v>
      </c>
      <c r="M177" s="6">
        <f t="shared" si="5"/>
        <v>1249.21</v>
      </c>
    </row>
    <row r="178" spans="1:13" hidden="1" x14ac:dyDescent="0.35">
      <c r="A178">
        <f>'DASE DADOS - DISTANCIA'!A178</f>
        <v>29424</v>
      </c>
      <c r="B178" t="str">
        <f>'DASE DADOS - DISTANCIA'!B178</f>
        <v>ITAMAR MONDINI</v>
      </c>
      <c r="C178" t="str">
        <f>'DASE DADOS - DISTANCIA'!C178</f>
        <v xml:space="preserve"> A2</v>
      </c>
      <c r="D178" t="str">
        <f>'DASE DADOS - DISTANCIA'!E178</f>
        <v>CAPANEMA</v>
      </c>
      <c r="E178" t="str">
        <f>'DASE DADOS - DISTANCIA'!I178</f>
        <v>PLUSVAL</v>
      </c>
      <c r="F178" s="7">
        <v>106</v>
      </c>
      <c r="G178">
        <f>'DASE DADOS - DISTANCIA'!J178</f>
        <v>212</v>
      </c>
      <c r="H178" s="2">
        <v>420</v>
      </c>
      <c r="I178" s="2" t="e">
        <f>IF(#REF!&lt;17200,DISTÂNCIA3[[#This Row],[KM PARA PAGAMENTO DOS FRETES]]*4.74,((#REF!/17200)*4.74)*DISTÂNCIA3[[#This Row],[KM PARA PAGAMENTO DOS FRETES]])</f>
        <v>#REF!</v>
      </c>
      <c r="J178" s="4">
        <f>DISTÂNCIA3[[#This Row],[Valor CTE]]/DISTÂNCIA3[[#This Row],[KM PARA PAGAMENTO DOS FRETES]]</f>
        <v>5.3120283018867926</v>
      </c>
      <c r="K178" s="6">
        <f t="shared" si="4"/>
        <v>679.71</v>
      </c>
      <c r="L178" s="6">
        <f>0.92*DISTÂNCIA3[[#This Row],[KM distancia]]*4.578</f>
        <v>446.44656000000009</v>
      </c>
      <c r="M178" s="6">
        <f t="shared" si="5"/>
        <v>1126.1500000000001</v>
      </c>
    </row>
    <row r="179" spans="1:13" hidden="1" x14ac:dyDescent="0.35">
      <c r="A179">
        <f>'DASE DADOS - DISTANCIA'!A179</f>
        <v>0</v>
      </c>
      <c r="B179" t="str">
        <f>'DASE DADOS - DISTANCIA'!B179</f>
        <v>CLADIR LEVANDOSKI</v>
      </c>
      <c r="C179" t="str">
        <f>'DASE DADOS - DISTANCIA'!C179</f>
        <v xml:space="preserve"> A1</v>
      </c>
      <c r="D179" t="str">
        <f>'DASE DADOS - DISTANCIA'!E179</f>
        <v>BELA VISTA DA CAROBA</v>
      </c>
      <c r="E179" t="str">
        <f>'DASE DADOS - DISTANCIA'!I179</f>
        <v>PLUSVAL</v>
      </c>
      <c r="F179" s="7">
        <v>130.5</v>
      </c>
      <c r="G179">
        <f>'DASE DADOS - DISTANCIA'!J179</f>
        <v>261</v>
      </c>
      <c r="H179" s="2">
        <v>420</v>
      </c>
      <c r="I179" s="2" t="e">
        <f>IF(#REF!&lt;17200,DISTÂNCIA3[[#This Row],[KM PARA PAGAMENTO DOS FRETES]]*4.74,((#REF!/17200)*4.74)*DISTÂNCIA3[[#This Row],[KM PARA PAGAMENTO DOS FRETES]])</f>
        <v>#REF!</v>
      </c>
      <c r="J179" s="4">
        <f>DISTÂNCIA3[[#This Row],[Valor CTE]]/DISTÂNCIA3[[#This Row],[KM PARA PAGAMENTO DOS FRETES]]</f>
        <v>5.1398467432950188</v>
      </c>
      <c r="K179" s="6">
        <f t="shared" si="4"/>
        <v>791.87</v>
      </c>
      <c r="L179" s="6">
        <f>0.92*DISTÂNCIA3[[#This Row],[KM distancia]]*4.578</f>
        <v>549.63468</v>
      </c>
      <c r="M179" s="6">
        <f t="shared" si="5"/>
        <v>1341.5</v>
      </c>
    </row>
    <row r="180" spans="1:13" hidden="1" x14ac:dyDescent="0.35">
      <c r="A180">
        <f>'DASE DADOS - DISTANCIA'!A180</f>
        <v>29424</v>
      </c>
      <c r="B180" t="str">
        <f>'DASE DADOS - DISTANCIA'!B180</f>
        <v>ITAMAR MONDINI</v>
      </c>
      <c r="C180" t="str">
        <f>'DASE DADOS - DISTANCIA'!C180</f>
        <v xml:space="preserve"> A1</v>
      </c>
      <c r="D180" t="str">
        <f>'DASE DADOS - DISTANCIA'!E180</f>
        <v>CAPANEMA</v>
      </c>
      <c r="E180" t="str">
        <f>'DASE DADOS - DISTANCIA'!I180</f>
        <v>PLUSVAL</v>
      </c>
      <c r="F180" s="7">
        <v>106</v>
      </c>
      <c r="G180">
        <f>'DASE DADOS - DISTANCIA'!J180</f>
        <v>212</v>
      </c>
      <c r="H180" s="2">
        <v>420</v>
      </c>
      <c r="I180" s="2" t="e">
        <f>IF(#REF!&lt;17200,DISTÂNCIA3[[#This Row],[KM PARA PAGAMENTO DOS FRETES]]*4.74,((#REF!/17200)*4.74)*DISTÂNCIA3[[#This Row],[KM PARA PAGAMENTO DOS FRETES]])</f>
        <v>#REF!</v>
      </c>
      <c r="J180" s="4">
        <f>DISTÂNCIA3[[#This Row],[Valor CTE]]/DISTÂNCIA3[[#This Row],[KM PARA PAGAMENTO DOS FRETES]]</f>
        <v>5.3120283018867926</v>
      </c>
      <c r="K180" s="6">
        <f t="shared" si="4"/>
        <v>679.71</v>
      </c>
      <c r="L180" s="6">
        <f>0.92*DISTÂNCIA3[[#This Row],[KM distancia]]*4.578</f>
        <v>446.44656000000009</v>
      </c>
      <c r="M180" s="6">
        <f t="shared" si="5"/>
        <v>1126.1500000000001</v>
      </c>
    </row>
    <row r="181" spans="1:13" hidden="1" x14ac:dyDescent="0.35">
      <c r="A181">
        <f>'DASE DADOS - DISTANCIA'!A181</f>
        <v>772615</v>
      </c>
      <c r="B181" t="str">
        <f>'DASE DADOS - DISTANCIA'!B181</f>
        <v>JOAO VITOR FAVA</v>
      </c>
      <c r="C181" t="str">
        <f>'DASE DADOS - DISTANCIA'!C181</f>
        <v xml:space="preserve"> A1</v>
      </c>
      <c r="D181" t="str">
        <f>'DASE DADOS - DISTANCIA'!E181</f>
        <v>REALEZA</v>
      </c>
      <c r="E181" t="str">
        <f>'DASE DADOS - DISTANCIA'!I181</f>
        <v>PLUSVAL</v>
      </c>
      <c r="F181" s="7">
        <v>96</v>
      </c>
      <c r="G181">
        <f>'DASE DADOS - DISTANCIA'!J181</f>
        <v>192</v>
      </c>
      <c r="H181" s="2">
        <v>420</v>
      </c>
      <c r="I181" s="2" t="e">
        <f>IF(#REF!&lt;17200,DISTÂNCIA3[[#This Row],[KM PARA PAGAMENTO DOS FRETES]]*4.74,((#REF!/17200)*4.74)*DISTÂNCIA3[[#This Row],[KM PARA PAGAMENTO DOS FRETES]])</f>
        <v>#REF!</v>
      </c>
      <c r="J181" s="4">
        <f>DISTÂNCIA3[[#This Row],[Valor CTE]]/DISTÂNCIA3[[#This Row],[KM PARA PAGAMENTO DOS FRETES]]</f>
        <v>5.4076041666666663</v>
      </c>
      <c r="K181" s="6">
        <f t="shared" ref="K181:K212" si="6">ROUND((F181*4.578)+194.44,2)</f>
        <v>633.92999999999995</v>
      </c>
      <c r="L181" s="6">
        <f>0.92*DISTÂNCIA3[[#This Row],[KM distancia]]*4.578</f>
        <v>404.32896000000005</v>
      </c>
      <c r="M181" s="6">
        <f t="shared" ref="M181:M212" si="7">ROUND(((F181*4.578)+194.44)+(0.92*F181*4.578),2)</f>
        <v>1038.26</v>
      </c>
    </row>
    <row r="182" spans="1:13" hidden="1" x14ac:dyDescent="0.35">
      <c r="A182">
        <f>'DASE DADOS - DISTANCIA'!A182</f>
        <v>709620</v>
      </c>
      <c r="B182" t="str">
        <f>'DASE DADOS - DISTANCIA'!B182</f>
        <v>JORGE ITAMAR DA ROSA</v>
      </c>
      <c r="C182" t="str">
        <f>'DASE DADOS - DISTANCIA'!C182</f>
        <v xml:space="preserve"> A1</v>
      </c>
      <c r="D182" t="str">
        <f>'DASE DADOS - DISTANCIA'!E182</f>
        <v>CAPANEMA</v>
      </c>
      <c r="E182" t="str">
        <f>'DASE DADOS - DISTANCIA'!I182</f>
        <v>PLUSVAL</v>
      </c>
      <c r="F182" s="7">
        <v>125</v>
      </c>
      <c r="G182">
        <f>'DASE DADOS - DISTANCIA'!J182</f>
        <v>250</v>
      </c>
      <c r="H182" s="2">
        <v>420</v>
      </c>
      <c r="I182" s="2" t="e">
        <f>IF(#REF!&lt;17200,DISTÂNCIA3[[#This Row],[KM PARA PAGAMENTO DOS FRETES]]*4.74,((#REF!/17200)*4.74)*DISTÂNCIA3[[#This Row],[KM PARA PAGAMENTO DOS FRETES]])</f>
        <v>#REF!</v>
      </c>
      <c r="J182" s="4">
        <f>DISTÂNCIA3[[#This Row],[Valor CTE]]/DISTÂNCIA3[[#This Row],[KM PARA PAGAMENTO DOS FRETES]]</f>
        <v>5.1726400000000003</v>
      </c>
      <c r="K182" s="6">
        <f t="shared" si="6"/>
        <v>766.69</v>
      </c>
      <c r="L182" s="6">
        <f>0.92*DISTÂNCIA3[[#This Row],[KM distancia]]*4.578</f>
        <v>526.47</v>
      </c>
      <c r="M182" s="6">
        <f t="shared" si="7"/>
        <v>1293.1600000000001</v>
      </c>
    </row>
    <row r="183" spans="1:13" hidden="1" x14ac:dyDescent="0.35">
      <c r="A183">
        <f>'DASE DADOS - DISTANCIA'!A183</f>
        <v>43124</v>
      </c>
      <c r="B183" t="str">
        <f>'DASE DADOS - DISTANCIA'!B183</f>
        <v>JOSE CARLOS BALZAN</v>
      </c>
      <c r="C183" t="str">
        <f>'DASE DADOS - DISTANCIA'!C183</f>
        <v xml:space="preserve"> A2</v>
      </c>
      <c r="D183" t="str">
        <f>'DASE DADOS - DISTANCIA'!E183</f>
        <v>CAPANEMA</v>
      </c>
      <c r="E183" t="str">
        <f>'DASE DADOS - DISTANCIA'!I183</f>
        <v>PLUSVAL</v>
      </c>
      <c r="F183" s="7">
        <v>122</v>
      </c>
      <c r="G183">
        <f>'DASE DADOS - DISTANCIA'!J183</f>
        <v>244</v>
      </c>
      <c r="H183" s="2">
        <v>420</v>
      </c>
      <c r="I183" s="2" t="e">
        <f>IF(#REF!&lt;17200,DISTÂNCIA3[[#This Row],[KM PARA PAGAMENTO DOS FRETES]]*4.74,((#REF!/17200)*4.74)*DISTÂNCIA3[[#This Row],[KM PARA PAGAMENTO DOS FRETES]])</f>
        <v>#REF!</v>
      </c>
      <c r="J183" s="4">
        <f>DISTÂNCIA3[[#This Row],[Valor CTE]]/DISTÂNCIA3[[#This Row],[KM PARA PAGAMENTO DOS FRETES]]</f>
        <v>5.1917622950819666</v>
      </c>
      <c r="K183" s="6">
        <f t="shared" si="6"/>
        <v>752.96</v>
      </c>
      <c r="L183" s="6">
        <f>0.92*DISTÂNCIA3[[#This Row],[KM distancia]]*4.578</f>
        <v>513.83472000000006</v>
      </c>
      <c r="M183" s="6">
        <f t="shared" si="7"/>
        <v>1266.79</v>
      </c>
    </row>
    <row r="184" spans="1:13" hidden="1" x14ac:dyDescent="0.35">
      <c r="A184">
        <f>'DASE DADOS - DISTANCIA'!A184</f>
        <v>43124</v>
      </c>
      <c r="B184" t="str">
        <f>'DASE DADOS - DISTANCIA'!B184</f>
        <v>JOSE CARLOS BALZAN</v>
      </c>
      <c r="C184" t="str">
        <f>'DASE DADOS - DISTANCIA'!C184</f>
        <v xml:space="preserve"> A1</v>
      </c>
      <c r="D184" t="str">
        <f>'DASE DADOS - DISTANCIA'!E184</f>
        <v>CAPANEMA</v>
      </c>
      <c r="E184" t="str">
        <f>'DASE DADOS - DISTANCIA'!I184</f>
        <v>PLUSVAL</v>
      </c>
      <c r="F184" s="7">
        <v>122</v>
      </c>
      <c r="G184">
        <f>'DASE DADOS - DISTANCIA'!J184</f>
        <v>244</v>
      </c>
      <c r="H184" s="2">
        <v>420</v>
      </c>
      <c r="I184" s="2" t="e">
        <f>IF(#REF!&lt;17200,DISTÂNCIA3[[#This Row],[KM PARA PAGAMENTO DOS FRETES]]*4.74,((#REF!/17200)*4.74)*DISTÂNCIA3[[#This Row],[KM PARA PAGAMENTO DOS FRETES]])</f>
        <v>#REF!</v>
      </c>
      <c r="J184" s="4">
        <f>DISTÂNCIA3[[#This Row],[Valor CTE]]/DISTÂNCIA3[[#This Row],[KM PARA PAGAMENTO DOS FRETES]]</f>
        <v>5.1917622950819666</v>
      </c>
      <c r="K184" s="6">
        <f t="shared" si="6"/>
        <v>752.96</v>
      </c>
      <c r="L184" s="6">
        <f>0.92*DISTÂNCIA3[[#This Row],[KM distancia]]*4.578</f>
        <v>513.83472000000006</v>
      </c>
      <c r="M184" s="6">
        <f t="shared" si="7"/>
        <v>1266.79</v>
      </c>
    </row>
    <row r="185" spans="1:13" hidden="1" x14ac:dyDescent="0.35">
      <c r="A185">
        <f>'DASE DADOS - DISTANCIA'!A185</f>
        <v>5316081</v>
      </c>
      <c r="B185" t="str">
        <f>'DASE DADOS - DISTANCIA'!B185</f>
        <v>CLAUDINO ROQUE LORENZATTO</v>
      </c>
      <c r="C185" t="str">
        <f>'DASE DADOS - DISTANCIA'!C185</f>
        <v xml:space="preserve"> A1</v>
      </c>
      <c r="D185" t="str">
        <f>'DASE DADOS - DISTANCIA'!E185</f>
        <v>NOVA SANTA ROSA</v>
      </c>
      <c r="E185" t="str">
        <f>'DASE DADOS - DISTANCIA'!I185</f>
        <v>PLUMA</v>
      </c>
      <c r="F185" s="7">
        <v>91.5</v>
      </c>
      <c r="G185">
        <f>'DASE DADOS - DISTANCIA'!J185</f>
        <v>183</v>
      </c>
      <c r="H185" s="2">
        <v>420</v>
      </c>
      <c r="I185" s="2" t="e">
        <f>IF(#REF!&lt;17200,DISTÂNCIA3[[#This Row],[KM PARA PAGAMENTO DOS FRETES]]*4.74,((#REF!/17200)*4.74)*DISTÂNCIA3[[#This Row],[KM PARA PAGAMENTO DOS FRETES]])</f>
        <v>#REF!</v>
      </c>
      <c r="J185" s="4">
        <f>DISTÂNCIA3[[#This Row],[Valor CTE]]/DISTÂNCIA3[[#This Row],[KM PARA PAGAMENTO DOS FRETES]]</f>
        <v>5.4573770491803284</v>
      </c>
      <c r="K185" s="6">
        <f t="shared" si="6"/>
        <v>613.33000000000004</v>
      </c>
      <c r="L185" s="6">
        <f>0.92*DISTÂNCIA3[[#This Row],[KM distancia]]*4.578</f>
        <v>385.37604000000005</v>
      </c>
      <c r="M185" s="6">
        <f t="shared" si="7"/>
        <v>998.7</v>
      </c>
    </row>
    <row r="186" spans="1:13" hidden="1" x14ac:dyDescent="0.35">
      <c r="A186">
        <f>'DASE DADOS - DISTANCIA'!A186</f>
        <v>43124</v>
      </c>
      <c r="B186" t="str">
        <f>'DASE DADOS - DISTANCIA'!B186</f>
        <v>JOSE CARLOS BALZAN</v>
      </c>
      <c r="C186" t="str">
        <f>'DASE DADOS - DISTANCIA'!C186</f>
        <v xml:space="preserve"> A3</v>
      </c>
      <c r="D186" t="str">
        <f>'DASE DADOS - DISTANCIA'!E186</f>
        <v>CAPANEMA</v>
      </c>
      <c r="E186" t="str">
        <f>'DASE DADOS - DISTANCIA'!I186</f>
        <v>PLUSVAL</v>
      </c>
      <c r="F186" s="7">
        <v>122</v>
      </c>
      <c r="G186">
        <f>'DASE DADOS - DISTANCIA'!J186</f>
        <v>244</v>
      </c>
      <c r="H186" s="2">
        <v>420</v>
      </c>
      <c r="I186" s="2" t="e">
        <f>IF(#REF!&lt;17200,DISTÂNCIA3[[#This Row],[KM PARA PAGAMENTO DOS FRETES]]*4.74,((#REF!/17200)*4.74)*DISTÂNCIA3[[#This Row],[KM PARA PAGAMENTO DOS FRETES]])</f>
        <v>#REF!</v>
      </c>
      <c r="J186" s="4">
        <f>DISTÂNCIA3[[#This Row],[Valor CTE]]/DISTÂNCIA3[[#This Row],[KM PARA PAGAMENTO DOS FRETES]]</f>
        <v>5.1917622950819666</v>
      </c>
      <c r="K186" s="6">
        <f t="shared" si="6"/>
        <v>752.96</v>
      </c>
      <c r="L186" s="6">
        <f>0.92*DISTÂNCIA3[[#This Row],[KM distancia]]*4.578</f>
        <v>513.83472000000006</v>
      </c>
      <c r="M186" s="6">
        <f t="shared" si="7"/>
        <v>1266.79</v>
      </c>
    </row>
    <row r="187" spans="1:13" hidden="1" x14ac:dyDescent="0.35">
      <c r="A187">
        <f>'DASE DADOS - DISTANCIA'!A187</f>
        <v>5316081</v>
      </c>
      <c r="B187" t="str">
        <f>'DASE DADOS - DISTANCIA'!B187</f>
        <v>CLAUDINO ROQUE LORENZATTO</v>
      </c>
      <c r="C187" t="str">
        <f>'DASE DADOS - DISTANCIA'!C187</f>
        <v xml:space="preserve"> A2</v>
      </c>
      <c r="D187" t="str">
        <f>'DASE DADOS - DISTANCIA'!E187</f>
        <v>NOVA SANTA ROSA</v>
      </c>
      <c r="E187" t="str">
        <f>'DASE DADOS - DISTANCIA'!I187</f>
        <v>PLUMA</v>
      </c>
      <c r="F187" s="7">
        <v>91.5</v>
      </c>
      <c r="G187">
        <f>'DASE DADOS - DISTANCIA'!J187</f>
        <v>183</v>
      </c>
      <c r="H187" s="2">
        <v>420</v>
      </c>
      <c r="I187" s="2" t="e">
        <f>IF(#REF!&lt;17200,DISTÂNCIA3[[#This Row],[KM PARA PAGAMENTO DOS FRETES]]*4.74,((#REF!/17200)*4.74)*DISTÂNCIA3[[#This Row],[KM PARA PAGAMENTO DOS FRETES]])</f>
        <v>#REF!</v>
      </c>
      <c r="J187" s="4">
        <f>DISTÂNCIA3[[#This Row],[Valor CTE]]/DISTÂNCIA3[[#This Row],[KM PARA PAGAMENTO DOS FRETES]]</f>
        <v>5.4573770491803284</v>
      </c>
      <c r="K187" s="6">
        <f t="shared" si="6"/>
        <v>613.33000000000004</v>
      </c>
      <c r="L187" s="6">
        <f>0.92*DISTÂNCIA3[[#This Row],[KM distancia]]*4.578</f>
        <v>385.37604000000005</v>
      </c>
      <c r="M187" s="6">
        <f t="shared" si="7"/>
        <v>998.7</v>
      </c>
    </row>
    <row r="188" spans="1:13" hidden="1" x14ac:dyDescent="0.35">
      <c r="A188">
        <f>'DASE DADOS - DISTANCIA'!A188</f>
        <v>30037</v>
      </c>
      <c r="B188" t="str">
        <f>'DASE DADOS - DISTANCIA'!B188</f>
        <v>JUSSARA MINSKI</v>
      </c>
      <c r="C188" t="str">
        <f>'DASE DADOS - DISTANCIA'!C188</f>
        <v xml:space="preserve"> A1</v>
      </c>
      <c r="D188" t="str">
        <f>'DASE DADOS - DISTANCIA'!E188</f>
        <v>CAPANEMA</v>
      </c>
      <c r="E188" t="str">
        <f>'DASE DADOS - DISTANCIA'!I188</f>
        <v>PLUSVAL</v>
      </c>
      <c r="F188" s="7">
        <v>114</v>
      </c>
      <c r="G188">
        <f>'DASE DADOS - DISTANCIA'!J188</f>
        <v>228</v>
      </c>
      <c r="H188" s="2">
        <v>420</v>
      </c>
      <c r="I188" s="2" t="e">
        <f>IF(#REF!&lt;17200,DISTÂNCIA3[[#This Row],[KM PARA PAGAMENTO DOS FRETES]]*4.74,((#REF!/17200)*4.74)*DISTÂNCIA3[[#This Row],[KM PARA PAGAMENTO DOS FRETES]])</f>
        <v>#REF!</v>
      </c>
      <c r="J188" s="4">
        <f>DISTÂNCIA3[[#This Row],[Valor CTE]]/DISTÂNCIA3[[#This Row],[KM PARA PAGAMENTO DOS FRETES]]</f>
        <v>5.2476754385964917</v>
      </c>
      <c r="K188" s="6">
        <f t="shared" si="6"/>
        <v>716.33</v>
      </c>
      <c r="L188" s="6">
        <f>0.92*DISTÂNCIA3[[#This Row],[KM distancia]]*4.578</f>
        <v>480.14064000000008</v>
      </c>
      <c r="M188" s="6">
        <f t="shared" si="7"/>
        <v>1196.47</v>
      </c>
    </row>
    <row r="189" spans="1:13" hidden="1" x14ac:dyDescent="0.35">
      <c r="A189">
        <f>'DASE DADOS - DISTANCIA'!A189</f>
        <v>30051</v>
      </c>
      <c r="B189" t="str">
        <f>'DASE DADOS - DISTANCIA'!B189</f>
        <v>CLAUDIO CEZAR HANEL</v>
      </c>
      <c r="C189" t="str">
        <f>'DASE DADOS - DISTANCIA'!C189</f>
        <v xml:space="preserve"> A1</v>
      </c>
      <c r="D189" t="str">
        <f>'DASE DADOS - DISTANCIA'!E189</f>
        <v>TRÊS BARRAS DO PARANÁ</v>
      </c>
      <c r="E189" t="str">
        <f>'DASE DADOS - DISTANCIA'!I189</f>
        <v>PLUSVAL</v>
      </c>
      <c r="F189" s="7">
        <v>110</v>
      </c>
      <c r="G189">
        <f>'DASE DADOS - DISTANCIA'!J189</f>
        <v>220</v>
      </c>
      <c r="H189" s="2">
        <v>420</v>
      </c>
      <c r="I189" s="2" t="e">
        <f>IF(#REF!&lt;17200,DISTÂNCIA3[[#This Row],[KM PARA PAGAMENTO DOS FRETES]]*4.74,((#REF!/17200)*4.74)*DISTÂNCIA3[[#This Row],[KM PARA PAGAMENTO DOS FRETES]])</f>
        <v>#REF!</v>
      </c>
      <c r="J189" s="4">
        <f>DISTÂNCIA3[[#This Row],[Valor CTE]]/DISTÂNCIA3[[#This Row],[KM PARA PAGAMENTO DOS FRETES]]</f>
        <v>5.278681818181818</v>
      </c>
      <c r="K189" s="6">
        <f t="shared" si="6"/>
        <v>698.02</v>
      </c>
      <c r="L189" s="6">
        <f>0.92*DISTÂNCIA3[[#This Row],[KM distancia]]*4.578</f>
        <v>463.29360000000003</v>
      </c>
      <c r="M189" s="6">
        <f t="shared" si="7"/>
        <v>1161.31</v>
      </c>
    </row>
    <row r="190" spans="1:13" hidden="1" x14ac:dyDescent="0.35">
      <c r="A190">
        <f>'DASE DADOS - DISTANCIA'!A190</f>
        <v>30037</v>
      </c>
      <c r="B190" t="str">
        <f>'DASE DADOS - DISTANCIA'!B190</f>
        <v>JUSSARA MINSKI</v>
      </c>
      <c r="C190" t="str">
        <f>'DASE DADOS - DISTANCIA'!C190</f>
        <v xml:space="preserve"> A2</v>
      </c>
      <c r="D190" t="str">
        <f>'DASE DADOS - DISTANCIA'!E190</f>
        <v>CAPANEMA</v>
      </c>
      <c r="E190" t="str">
        <f>'DASE DADOS - DISTANCIA'!I190</f>
        <v>PLUSVAL</v>
      </c>
      <c r="F190" s="7">
        <v>114</v>
      </c>
      <c r="G190">
        <f>'DASE DADOS - DISTANCIA'!J190</f>
        <v>228</v>
      </c>
      <c r="H190" s="2">
        <v>420</v>
      </c>
      <c r="I190" s="2" t="e">
        <f>IF(#REF!&lt;17200,DISTÂNCIA3[[#This Row],[KM PARA PAGAMENTO DOS FRETES]]*4.74,((#REF!/17200)*4.74)*DISTÂNCIA3[[#This Row],[KM PARA PAGAMENTO DOS FRETES]])</f>
        <v>#REF!</v>
      </c>
      <c r="J190" s="4">
        <f>DISTÂNCIA3[[#This Row],[Valor CTE]]/DISTÂNCIA3[[#This Row],[KM PARA PAGAMENTO DOS FRETES]]</f>
        <v>5.2476754385964917</v>
      </c>
      <c r="K190" s="6">
        <f t="shared" si="6"/>
        <v>716.33</v>
      </c>
      <c r="L190" s="6">
        <f>0.92*DISTÂNCIA3[[#This Row],[KM distancia]]*4.578</f>
        <v>480.14064000000008</v>
      </c>
      <c r="M190" s="6">
        <f t="shared" si="7"/>
        <v>1196.47</v>
      </c>
    </row>
    <row r="191" spans="1:13" hidden="1" x14ac:dyDescent="0.35">
      <c r="A191">
        <f>'DASE DADOS - DISTANCIA'!A191</f>
        <v>30051</v>
      </c>
      <c r="B191" t="str">
        <f>'DASE DADOS - DISTANCIA'!B191</f>
        <v>CLAUDIO CEZAR HANEL</v>
      </c>
      <c r="C191" t="str">
        <f>'DASE DADOS - DISTANCIA'!C191</f>
        <v xml:space="preserve"> A2</v>
      </c>
      <c r="D191" t="str">
        <f>'DASE DADOS - DISTANCIA'!E191</f>
        <v>TRÊS BARRAS DO PARANÁ</v>
      </c>
      <c r="E191" t="str">
        <f>'DASE DADOS - DISTANCIA'!I191</f>
        <v>PLUSVAL</v>
      </c>
      <c r="F191" s="7">
        <v>110</v>
      </c>
      <c r="G191">
        <f>'DASE DADOS - DISTANCIA'!J191</f>
        <v>220</v>
      </c>
      <c r="H191" s="2">
        <v>420</v>
      </c>
      <c r="I191" s="2" t="e">
        <f>IF(#REF!&lt;17200,DISTÂNCIA3[[#This Row],[KM PARA PAGAMENTO DOS FRETES]]*4.74,((#REF!/17200)*4.74)*DISTÂNCIA3[[#This Row],[KM PARA PAGAMENTO DOS FRETES]])</f>
        <v>#REF!</v>
      </c>
      <c r="J191" s="4">
        <f>DISTÂNCIA3[[#This Row],[Valor CTE]]/DISTÂNCIA3[[#This Row],[KM PARA PAGAMENTO DOS FRETES]]</f>
        <v>5.278681818181818</v>
      </c>
      <c r="K191" s="6">
        <f t="shared" si="6"/>
        <v>698.02</v>
      </c>
      <c r="L191" s="6">
        <f>0.92*DISTÂNCIA3[[#This Row],[KM distancia]]*4.578</f>
        <v>463.29360000000003</v>
      </c>
      <c r="M191" s="6">
        <f t="shared" si="7"/>
        <v>1161.31</v>
      </c>
    </row>
    <row r="192" spans="1:13" hidden="1" x14ac:dyDescent="0.35">
      <c r="A192">
        <f>'DASE DADOS - DISTANCIA'!A192</f>
        <v>30469</v>
      </c>
      <c r="B192" t="str">
        <f>'DASE DADOS - DISTANCIA'!B192</f>
        <v>LUIZ CARLOS MORSCH</v>
      </c>
      <c r="C192" t="str">
        <f>'DASE DADOS - DISTANCIA'!C192</f>
        <v xml:space="preserve"> A1</v>
      </c>
      <c r="D192" t="str">
        <f>'DASE DADOS - DISTANCIA'!E192</f>
        <v>CAPITÃO LEÔNIDAS MARQUES</v>
      </c>
      <c r="E192" t="str">
        <f>'DASE DADOS - DISTANCIA'!I192</f>
        <v>PLUSVAL</v>
      </c>
      <c r="F192" s="7">
        <v>69</v>
      </c>
      <c r="G192">
        <f>'DASE DADOS - DISTANCIA'!J192</f>
        <v>138</v>
      </c>
      <c r="H192" s="2">
        <v>420</v>
      </c>
      <c r="I192" s="2" t="e">
        <f>IF(#REF!&lt;17200,DISTÂNCIA3[[#This Row],[KM PARA PAGAMENTO DOS FRETES]]*4.74,((#REF!/17200)*4.74)*DISTÂNCIA3[[#This Row],[KM PARA PAGAMENTO DOS FRETES]])</f>
        <v>#REF!</v>
      </c>
      <c r="J192" s="4">
        <f>DISTÂNCIA3[[#This Row],[Valor CTE]]/DISTÂNCIA3[[#This Row],[KM PARA PAGAMENTO DOS FRETES]]</f>
        <v>5.8038405797101449</v>
      </c>
      <c r="K192" s="6">
        <f t="shared" si="6"/>
        <v>510.32</v>
      </c>
      <c r="L192" s="6">
        <f>0.92*DISTÂNCIA3[[#This Row],[KM distancia]]*4.578</f>
        <v>290.61144000000002</v>
      </c>
      <c r="M192" s="6">
        <f t="shared" si="7"/>
        <v>800.93</v>
      </c>
    </row>
    <row r="193" spans="1:13" hidden="1" x14ac:dyDescent="0.35">
      <c r="A193">
        <f>'DASE DADOS - DISTANCIA'!A193</f>
        <v>30051</v>
      </c>
      <c r="B193" t="str">
        <f>'DASE DADOS - DISTANCIA'!B193</f>
        <v>CLAUDIO CEZAR HANEL</v>
      </c>
      <c r="C193" t="str">
        <f>'DASE DADOS - DISTANCIA'!C193</f>
        <v xml:space="preserve"> A3</v>
      </c>
      <c r="D193" t="str">
        <f>'DASE DADOS - DISTANCIA'!E193</f>
        <v>TRÊS BARRAS DO PARANÁ</v>
      </c>
      <c r="E193" t="str">
        <f>'DASE DADOS - DISTANCIA'!I193</f>
        <v>PLUSVAL</v>
      </c>
      <c r="F193" s="7">
        <v>110</v>
      </c>
      <c r="G193">
        <f>'DASE DADOS - DISTANCIA'!J193</f>
        <v>220</v>
      </c>
      <c r="H193" s="2">
        <v>420</v>
      </c>
      <c r="I193" s="2" t="e">
        <f>IF(#REF!&lt;17200,DISTÂNCIA3[[#This Row],[KM PARA PAGAMENTO DOS FRETES]]*4.74,((#REF!/17200)*4.74)*DISTÂNCIA3[[#This Row],[KM PARA PAGAMENTO DOS FRETES]])</f>
        <v>#REF!</v>
      </c>
      <c r="J193" s="4">
        <f>DISTÂNCIA3[[#This Row],[Valor CTE]]/DISTÂNCIA3[[#This Row],[KM PARA PAGAMENTO DOS FRETES]]</f>
        <v>5.278681818181818</v>
      </c>
      <c r="K193" s="6">
        <f t="shared" si="6"/>
        <v>698.02</v>
      </c>
      <c r="L193" s="6">
        <f>0.92*DISTÂNCIA3[[#This Row],[KM distancia]]*4.578</f>
        <v>463.29360000000003</v>
      </c>
      <c r="M193" s="6">
        <f t="shared" si="7"/>
        <v>1161.31</v>
      </c>
    </row>
    <row r="194" spans="1:13" hidden="1" x14ac:dyDescent="0.35">
      <c r="A194">
        <f>'DASE DADOS - DISTANCIA'!A194</f>
        <v>29433</v>
      </c>
      <c r="B194" t="str">
        <f>'DASE DADOS - DISTANCIA'!B194</f>
        <v>LUIZ FAVA</v>
      </c>
      <c r="C194" t="str">
        <f>'DASE DADOS - DISTANCIA'!C194</f>
        <v xml:space="preserve"> A1</v>
      </c>
      <c r="D194" t="str">
        <f>'DASE DADOS - DISTANCIA'!E194</f>
        <v>REALEZA</v>
      </c>
      <c r="E194" t="str">
        <f>'DASE DADOS - DISTANCIA'!I194</f>
        <v>PLUSVAL</v>
      </c>
      <c r="F194" s="7">
        <v>96</v>
      </c>
      <c r="G194">
        <f>'DASE DADOS - DISTANCIA'!J194</f>
        <v>192</v>
      </c>
      <c r="H194" s="2">
        <v>420</v>
      </c>
      <c r="I194" s="2" t="e">
        <f>IF(#REF!&lt;17200,DISTÂNCIA3[[#This Row],[KM PARA PAGAMENTO DOS FRETES]]*4.74,((#REF!/17200)*4.74)*DISTÂNCIA3[[#This Row],[KM PARA PAGAMENTO DOS FRETES]])</f>
        <v>#REF!</v>
      </c>
      <c r="J194" s="4">
        <f>DISTÂNCIA3[[#This Row],[Valor CTE]]/DISTÂNCIA3[[#This Row],[KM PARA PAGAMENTO DOS FRETES]]</f>
        <v>5.4076041666666663</v>
      </c>
      <c r="K194" s="6">
        <f t="shared" si="6"/>
        <v>633.92999999999995</v>
      </c>
      <c r="L194" s="6">
        <f>0.92*DISTÂNCIA3[[#This Row],[KM distancia]]*4.578</f>
        <v>404.32896000000005</v>
      </c>
      <c r="M194" s="6">
        <f t="shared" si="7"/>
        <v>1038.26</v>
      </c>
    </row>
    <row r="195" spans="1:13" hidden="1" x14ac:dyDescent="0.35">
      <c r="A195">
        <f>'DASE DADOS - DISTANCIA'!A195</f>
        <v>30076</v>
      </c>
      <c r="B195" t="str">
        <f>'DASE DADOS - DISTANCIA'!B195</f>
        <v>CLAUDIOMIR BAPTAGLIN</v>
      </c>
      <c r="C195" t="str">
        <f>'DASE DADOS - DISTANCIA'!C195</f>
        <v xml:space="preserve"> A1</v>
      </c>
      <c r="D195" t="str">
        <f>'DASE DADOS - DISTANCIA'!E195</f>
        <v>CAPANEMA</v>
      </c>
      <c r="E195" t="str">
        <f>'DASE DADOS - DISTANCIA'!I195</f>
        <v>PLUSVAL</v>
      </c>
      <c r="F195" s="7">
        <v>116</v>
      </c>
      <c r="G195">
        <f>'DASE DADOS - DISTANCIA'!J195</f>
        <v>232</v>
      </c>
      <c r="H195" s="2">
        <v>420</v>
      </c>
      <c r="I195" s="2" t="e">
        <f>IF(#REF!&lt;17200,DISTÂNCIA3[[#This Row],[KM PARA PAGAMENTO DOS FRETES]]*4.74,((#REF!/17200)*4.74)*DISTÂNCIA3[[#This Row],[KM PARA PAGAMENTO DOS FRETES]])</f>
        <v>#REF!</v>
      </c>
      <c r="J195" s="4">
        <f>DISTÂNCIA3[[#This Row],[Valor CTE]]/DISTÂNCIA3[[#This Row],[KM PARA PAGAMENTO DOS FRETES]]</f>
        <v>5.2329741379310342</v>
      </c>
      <c r="K195" s="6">
        <f t="shared" si="6"/>
        <v>725.49</v>
      </c>
      <c r="L195" s="6">
        <f>0.92*DISTÂNCIA3[[#This Row],[KM distancia]]*4.578</f>
        <v>488.56416000000002</v>
      </c>
      <c r="M195" s="6">
        <f t="shared" si="7"/>
        <v>1214.05</v>
      </c>
    </row>
    <row r="196" spans="1:13" hidden="1" x14ac:dyDescent="0.35">
      <c r="A196">
        <f>'DASE DADOS - DISTANCIA'!A196</f>
        <v>1004816</v>
      </c>
      <c r="B196" t="str">
        <f>'DASE DADOS - DISTANCIA'!B196</f>
        <v>MARCELO FABIANO SCHAAB</v>
      </c>
      <c r="C196" t="str">
        <f>'DASE DADOS - DISTANCIA'!C196</f>
        <v xml:space="preserve"> A1</v>
      </c>
      <c r="D196" t="str">
        <f>'DASE DADOS - DISTANCIA'!E196</f>
        <v>CAPANEMA</v>
      </c>
      <c r="E196" t="str">
        <f>'DASE DADOS - DISTANCIA'!I196</f>
        <v>PLUSVAL</v>
      </c>
      <c r="F196" s="7">
        <v>120</v>
      </c>
      <c r="G196">
        <f>'DASE DADOS - DISTANCIA'!J196</f>
        <v>240</v>
      </c>
      <c r="H196" s="2">
        <v>420</v>
      </c>
      <c r="I196" s="2" t="e">
        <f>IF(#REF!&lt;17200,DISTÂNCIA3[[#This Row],[KM PARA PAGAMENTO DOS FRETES]]*4.74,((#REF!/17200)*4.74)*DISTÂNCIA3[[#This Row],[KM PARA PAGAMENTO DOS FRETES]])</f>
        <v>#REF!</v>
      </c>
      <c r="J196" s="4">
        <f>DISTÂNCIA3[[#This Row],[Valor CTE]]/DISTÂNCIA3[[#This Row],[KM PARA PAGAMENTO DOS FRETES]]</f>
        <v>5.2050416666666672</v>
      </c>
      <c r="K196" s="6">
        <f t="shared" si="6"/>
        <v>743.8</v>
      </c>
      <c r="L196" s="6">
        <f>0.92*DISTÂNCIA3[[#This Row],[KM distancia]]*4.578</f>
        <v>505.41120000000006</v>
      </c>
      <c r="M196" s="6">
        <f t="shared" si="7"/>
        <v>1249.21</v>
      </c>
    </row>
    <row r="197" spans="1:13" hidden="1" x14ac:dyDescent="0.35">
      <c r="A197">
        <f>'DASE DADOS - DISTANCIA'!A197</f>
        <v>5726263</v>
      </c>
      <c r="B197" t="str">
        <f>'DASE DADOS - DISTANCIA'!B197</f>
        <v>CLAUDIOMIRO SCHNEIDER</v>
      </c>
      <c r="C197" t="str">
        <f>'DASE DADOS - DISTANCIA'!C197</f>
        <v xml:space="preserve"> A1</v>
      </c>
      <c r="D197" t="str">
        <f>'DASE DADOS - DISTANCIA'!E197</f>
        <v>TOLEDO</v>
      </c>
      <c r="E197" t="str">
        <f>'DASE DADOS - DISTANCIA'!I197</f>
        <v>PLUMA</v>
      </c>
      <c r="F197" s="7">
        <v>67</v>
      </c>
      <c r="G197">
        <f>'DASE DADOS - DISTANCIA'!J197</f>
        <v>134</v>
      </c>
      <c r="H197" s="2">
        <v>420</v>
      </c>
      <c r="I197" s="2" t="e">
        <f>IF(#REF!&lt;17200,DISTÂNCIA3[[#This Row],[KM PARA PAGAMENTO DOS FRETES]]*4.74,((#REF!/17200)*4.74)*DISTÂNCIA3[[#This Row],[KM PARA PAGAMENTO DOS FRETES]])</f>
        <v>#REF!</v>
      </c>
      <c r="J197" s="4">
        <f>DISTÂNCIA3[[#This Row],[Valor CTE]]/DISTÂNCIA3[[#This Row],[KM PARA PAGAMENTO DOS FRETES]]</f>
        <v>5.8458955223880595</v>
      </c>
      <c r="K197" s="6">
        <f t="shared" si="6"/>
        <v>501.17</v>
      </c>
      <c r="L197" s="6">
        <f>0.92*DISTÂNCIA3[[#This Row],[KM distancia]]*4.578</f>
        <v>282.18792000000002</v>
      </c>
      <c r="M197" s="6">
        <f t="shared" si="7"/>
        <v>783.35</v>
      </c>
    </row>
    <row r="198" spans="1:13" hidden="1" x14ac:dyDescent="0.35">
      <c r="A198">
        <f>'DASE DADOS - DISTANCIA'!A198</f>
        <v>0</v>
      </c>
      <c r="B198" t="str">
        <f>'DASE DADOS - DISTANCIA'!B198</f>
        <v>MARCELO RODRIGO LOTHERMANN</v>
      </c>
      <c r="C198" t="str">
        <f>'DASE DADOS - DISTANCIA'!C198</f>
        <v xml:space="preserve"> A1</v>
      </c>
      <c r="D198" t="str">
        <f>'DASE DADOS - DISTANCIA'!E198</f>
        <v>CAPANEMA</v>
      </c>
      <c r="E198" t="str">
        <f>'DASE DADOS - DISTANCIA'!I198</f>
        <v>PLUSVAL</v>
      </c>
      <c r="F198" s="7">
        <v>101</v>
      </c>
      <c r="G198">
        <f>'DASE DADOS - DISTANCIA'!J198</f>
        <v>202</v>
      </c>
      <c r="H198" s="2">
        <v>420</v>
      </c>
      <c r="I198" s="2" t="e">
        <f>IF(#REF!&lt;17200,DISTÂNCIA3[[#This Row],[KM PARA PAGAMENTO DOS FRETES]]*4.74,((#REF!/17200)*4.74)*DISTÂNCIA3[[#This Row],[KM PARA PAGAMENTO DOS FRETES]])</f>
        <v>#REF!</v>
      </c>
      <c r="J198" s="4">
        <f>DISTÂNCIA3[[#This Row],[Valor CTE]]/DISTÂNCIA3[[#This Row],[KM PARA PAGAMENTO DOS FRETES]]</f>
        <v>5.3574752475247527</v>
      </c>
      <c r="K198" s="6">
        <f t="shared" si="6"/>
        <v>656.82</v>
      </c>
      <c r="L198" s="6">
        <f>0.92*DISTÂNCIA3[[#This Row],[KM distancia]]*4.578</f>
        <v>425.38776000000001</v>
      </c>
      <c r="M198" s="6">
        <f t="shared" si="7"/>
        <v>1082.21</v>
      </c>
    </row>
    <row r="199" spans="1:13" hidden="1" x14ac:dyDescent="0.35">
      <c r="A199">
        <f>'DASE DADOS - DISTANCIA'!A199</f>
        <v>0</v>
      </c>
      <c r="B199" t="str">
        <f>'DASE DADOS - DISTANCIA'!B199</f>
        <v>MARCELO RODRIGO LOTHERMANN</v>
      </c>
      <c r="C199" t="str">
        <f>'DASE DADOS - DISTANCIA'!C199</f>
        <v xml:space="preserve"> A2</v>
      </c>
      <c r="D199" t="str">
        <f>'DASE DADOS - DISTANCIA'!E199</f>
        <v>CAPANEMA</v>
      </c>
      <c r="E199" t="str">
        <f>'DASE DADOS - DISTANCIA'!I199</f>
        <v>PLUSVAL</v>
      </c>
      <c r="F199" s="7">
        <v>101</v>
      </c>
      <c r="G199">
        <f>'DASE DADOS - DISTANCIA'!J199</f>
        <v>202</v>
      </c>
      <c r="H199" s="2">
        <v>420</v>
      </c>
      <c r="I199" s="2" t="e">
        <f>IF(#REF!&lt;17200,DISTÂNCIA3[[#This Row],[KM PARA PAGAMENTO DOS FRETES]]*4.74,((#REF!/17200)*4.74)*DISTÂNCIA3[[#This Row],[KM PARA PAGAMENTO DOS FRETES]])</f>
        <v>#REF!</v>
      </c>
      <c r="J199" s="4">
        <f>DISTÂNCIA3[[#This Row],[Valor CTE]]/DISTÂNCIA3[[#This Row],[KM PARA PAGAMENTO DOS FRETES]]</f>
        <v>5.3574752475247527</v>
      </c>
      <c r="K199" s="6">
        <f t="shared" si="6"/>
        <v>656.82</v>
      </c>
      <c r="L199" s="6">
        <f>0.92*DISTÂNCIA3[[#This Row],[KM distancia]]*4.578</f>
        <v>425.38776000000001</v>
      </c>
      <c r="M199" s="6">
        <f t="shared" si="7"/>
        <v>1082.21</v>
      </c>
    </row>
    <row r="200" spans="1:13" hidden="1" x14ac:dyDescent="0.35">
      <c r="A200">
        <f>'DASE DADOS - DISTANCIA'!A200</f>
        <v>0</v>
      </c>
      <c r="B200" t="str">
        <f>'DASE DADOS - DISTANCIA'!B200</f>
        <v>CLAUDINO VENGEN</v>
      </c>
      <c r="C200" t="str">
        <f>'DASE DADOS - DISTANCIA'!C200</f>
        <v xml:space="preserve"> A2</v>
      </c>
      <c r="D200" t="str">
        <f>'DASE DADOS - DISTANCIA'!E200</f>
        <v>CASCAVEL</v>
      </c>
      <c r="E200" t="str">
        <f>'DASE DADOS - DISTANCIA'!I200</f>
        <v>PLUMA</v>
      </c>
      <c r="F200" s="7">
        <v>39</v>
      </c>
      <c r="G200">
        <f>'DASE DADOS - DISTANCIA'!J200</f>
        <v>78</v>
      </c>
      <c r="H200" s="2">
        <v>420</v>
      </c>
      <c r="I200" s="2" t="e">
        <f>IF(#REF!&lt;17200,DISTÂNCIA3[[#This Row],[KM PARA PAGAMENTO DOS FRETES]]*4.74,((#REF!/17200)*4.74)*DISTÂNCIA3[[#This Row],[KM PARA PAGAMENTO DOS FRETES]])</f>
        <v>#REF!</v>
      </c>
      <c r="J200" s="4">
        <f>DISTÂNCIA3[[#This Row],[Valor CTE]]/DISTÂNCIA3[[#This Row],[KM PARA PAGAMENTO DOS FRETES]]</f>
        <v>6.8876923076923076</v>
      </c>
      <c r="K200" s="6">
        <f t="shared" si="6"/>
        <v>372.98</v>
      </c>
      <c r="L200" s="6">
        <f>0.92*DISTÂNCIA3[[#This Row],[KM distancia]]*4.578</f>
        <v>164.25864000000001</v>
      </c>
      <c r="M200" s="6">
        <f t="shared" si="7"/>
        <v>537.24</v>
      </c>
    </row>
    <row r="201" spans="1:13" hidden="1" x14ac:dyDescent="0.35">
      <c r="A201">
        <f>'DASE DADOS - DISTANCIA'!A201</f>
        <v>717436</v>
      </c>
      <c r="B201" t="str">
        <f>'DASE DADOS - DISTANCIA'!B201</f>
        <v>REGINA SCHNEIDER KURZ</v>
      </c>
      <c r="C201" t="str">
        <f>'DASE DADOS - DISTANCIA'!C201</f>
        <v xml:space="preserve"> A1</v>
      </c>
      <c r="D201" t="str">
        <f>'DASE DADOS - DISTANCIA'!E201</f>
        <v>CAPANEMA</v>
      </c>
      <c r="E201" t="str">
        <f>'DASE DADOS - DISTANCIA'!I201</f>
        <v>PLUSVAL</v>
      </c>
      <c r="F201" s="7">
        <v>121</v>
      </c>
      <c r="G201">
        <f>'DASE DADOS - DISTANCIA'!J201</f>
        <v>242</v>
      </c>
      <c r="H201" s="2">
        <v>420</v>
      </c>
      <c r="I201" s="2" t="e">
        <f>IF(#REF!&lt;17200,DISTÂNCIA3[[#This Row],[KM PARA PAGAMENTO DOS FRETES]]*4.74,((#REF!/17200)*4.74)*DISTÂNCIA3[[#This Row],[KM PARA PAGAMENTO DOS FRETES]])</f>
        <v>#REF!</v>
      </c>
      <c r="J201" s="4">
        <f>DISTÂNCIA3[[#This Row],[Valor CTE]]/DISTÂNCIA3[[#This Row],[KM PARA PAGAMENTO DOS FRETES]]</f>
        <v>5.1983471074380168</v>
      </c>
      <c r="K201" s="6">
        <f t="shared" si="6"/>
        <v>748.38</v>
      </c>
      <c r="L201" s="6">
        <f>0.92*DISTÂNCIA3[[#This Row],[KM distancia]]*4.578</f>
        <v>509.62296000000009</v>
      </c>
      <c r="M201" s="6">
        <f t="shared" si="7"/>
        <v>1258</v>
      </c>
    </row>
    <row r="202" spans="1:13" hidden="1" x14ac:dyDescent="0.35">
      <c r="A202">
        <f>'DASE DADOS - DISTANCIA'!A202</f>
        <v>0</v>
      </c>
      <c r="B202" t="str">
        <f>'DASE DADOS - DISTANCIA'!B202</f>
        <v>CLAUDINO VENGEN</v>
      </c>
      <c r="C202" t="str">
        <f>'DASE DADOS - DISTANCIA'!C202</f>
        <v xml:space="preserve"> A1</v>
      </c>
      <c r="D202" t="str">
        <f>'DASE DADOS - DISTANCIA'!E202</f>
        <v>CASCAVEL</v>
      </c>
      <c r="E202" t="str">
        <f>'DASE DADOS - DISTANCIA'!I202</f>
        <v>PLUMA</v>
      </c>
      <c r="F202" s="7">
        <v>39</v>
      </c>
      <c r="G202">
        <f>'DASE DADOS - DISTANCIA'!J202</f>
        <v>78</v>
      </c>
      <c r="H202" s="2">
        <v>420</v>
      </c>
      <c r="I202" s="2" t="e">
        <f>IF(#REF!&lt;17200,DISTÂNCIA3[[#This Row],[KM PARA PAGAMENTO DOS FRETES]]*4.74,((#REF!/17200)*4.74)*DISTÂNCIA3[[#This Row],[KM PARA PAGAMENTO DOS FRETES]])</f>
        <v>#REF!</v>
      </c>
      <c r="J202" s="4">
        <f>DISTÂNCIA3[[#This Row],[Valor CTE]]/DISTÂNCIA3[[#This Row],[KM PARA PAGAMENTO DOS FRETES]]</f>
        <v>6.8876923076923076</v>
      </c>
      <c r="K202" s="6">
        <f t="shared" si="6"/>
        <v>372.98</v>
      </c>
      <c r="L202" s="6">
        <f>0.92*DISTÂNCIA3[[#This Row],[KM distancia]]*4.578</f>
        <v>164.25864000000001</v>
      </c>
      <c r="M202" s="6">
        <f t="shared" si="7"/>
        <v>537.24</v>
      </c>
    </row>
    <row r="203" spans="1:13" hidden="1" x14ac:dyDescent="0.35">
      <c r="A203">
        <f>'DASE DADOS - DISTANCIA'!A203</f>
        <v>717436</v>
      </c>
      <c r="B203" t="str">
        <f>'DASE DADOS - DISTANCIA'!B203</f>
        <v>REGINA SCHNEIDER KURZ</v>
      </c>
      <c r="C203" t="str">
        <f>'DASE DADOS - DISTANCIA'!C203</f>
        <v xml:space="preserve"> A2</v>
      </c>
      <c r="D203" t="str">
        <f>'DASE DADOS - DISTANCIA'!E203</f>
        <v>CAPANEMA</v>
      </c>
      <c r="E203" t="str">
        <f>'DASE DADOS - DISTANCIA'!I203</f>
        <v>PLUSVAL</v>
      </c>
      <c r="F203" s="7">
        <v>121</v>
      </c>
      <c r="G203">
        <f>'DASE DADOS - DISTANCIA'!J203</f>
        <v>242</v>
      </c>
      <c r="H203" s="2">
        <v>420</v>
      </c>
      <c r="I203" s="2" t="e">
        <f>IF(#REF!&lt;17200,DISTÂNCIA3[[#This Row],[KM PARA PAGAMENTO DOS FRETES]]*4.74,((#REF!/17200)*4.74)*DISTÂNCIA3[[#This Row],[KM PARA PAGAMENTO DOS FRETES]])</f>
        <v>#REF!</v>
      </c>
      <c r="J203" s="4">
        <f>DISTÂNCIA3[[#This Row],[Valor CTE]]/DISTÂNCIA3[[#This Row],[KM PARA PAGAMENTO DOS FRETES]]</f>
        <v>5.1983471074380168</v>
      </c>
      <c r="K203" s="6">
        <f t="shared" si="6"/>
        <v>748.38</v>
      </c>
      <c r="L203" s="6">
        <f>0.92*DISTÂNCIA3[[#This Row],[KM distancia]]*4.578</f>
        <v>509.62296000000009</v>
      </c>
      <c r="M203" s="6">
        <f t="shared" si="7"/>
        <v>1258</v>
      </c>
    </row>
    <row r="204" spans="1:13" hidden="1" x14ac:dyDescent="0.35">
      <c r="A204">
        <f>'DASE DADOS - DISTANCIA'!A204</f>
        <v>30454</v>
      </c>
      <c r="B204" t="str">
        <f>'DASE DADOS - DISTANCIA'!B204</f>
        <v>CLEIDE RITIANE ROLL</v>
      </c>
      <c r="C204" t="str">
        <f>'DASE DADOS - DISTANCIA'!C204</f>
        <v xml:space="preserve"> A1</v>
      </c>
      <c r="D204" t="str">
        <f>'DASE DADOS - DISTANCIA'!E204</f>
        <v>BELA VISTA DA CAROBA</v>
      </c>
      <c r="E204" t="str">
        <f>'DASE DADOS - DISTANCIA'!I204</f>
        <v>PLUSVAL</v>
      </c>
      <c r="F204" s="7">
        <v>134.5</v>
      </c>
      <c r="G204">
        <f>'DASE DADOS - DISTANCIA'!J204</f>
        <v>269</v>
      </c>
      <c r="H204" s="2">
        <v>420</v>
      </c>
      <c r="I204" s="2" t="e">
        <f>IF(#REF!&lt;17200,DISTÂNCIA3[[#This Row],[KM PARA PAGAMENTO DOS FRETES]]*4.74,((#REF!/17200)*4.74)*DISTÂNCIA3[[#This Row],[KM PARA PAGAMENTO DOS FRETES]])</f>
        <v>#REF!</v>
      </c>
      <c r="J204" s="4">
        <f>DISTÂNCIA3[[#This Row],[Valor CTE]]/DISTÂNCIA3[[#This Row],[KM PARA PAGAMENTO DOS FRETES]]</f>
        <v>5.1176951672862456</v>
      </c>
      <c r="K204" s="6">
        <f t="shared" si="6"/>
        <v>810.18</v>
      </c>
      <c r="L204" s="6">
        <f>0.92*DISTÂNCIA3[[#This Row],[KM distancia]]*4.578</f>
        <v>566.48172000000011</v>
      </c>
      <c r="M204" s="6">
        <f t="shared" si="7"/>
        <v>1376.66</v>
      </c>
    </row>
    <row r="205" spans="1:13" hidden="1" x14ac:dyDescent="0.35">
      <c r="A205">
        <f>'DASE DADOS - DISTANCIA'!A205</f>
        <v>30087</v>
      </c>
      <c r="B205" t="str">
        <f>'DASE DADOS - DISTANCIA'!B205</f>
        <v>RENATO RAFAEL PETRIKICZ</v>
      </c>
      <c r="C205" t="str">
        <f>'DASE DADOS - DISTANCIA'!C205</f>
        <v xml:space="preserve"> A1</v>
      </c>
      <c r="D205" t="str">
        <f>'DASE DADOS - DISTANCIA'!E205</f>
        <v>CAPANEMA</v>
      </c>
      <c r="E205" t="str">
        <f>'DASE DADOS - DISTANCIA'!I205</f>
        <v>PLUSVAL</v>
      </c>
      <c r="F205" s="7">
        <v>102</v>
      </c>
      <c r="G205">
        <f>'DASE DADOS - DISTANCIA'!J205</f>
        <v>204</v>
      </c>
      <c r="H205" s="2">
        <v>420</v>
      </c>
      <c r="I205" s="2" t="e">
        <f>IF(#REF!&lt;17200,DISTÂNCIA3[[#This Row],[KM PARA PAGAMENTO DOS FRETES]]*4.74,((#REF!/17200)*4.74)*DISTÂNCIA3[[#This Row],[KM PARA PAGAMENTO DOS FRETES]])</f>
        <v>#REF!</v>
      </c>
      <c r="J205" s="4">
        <f>DISTÂNCIA3[[#This Row],[Valor CTE]]/DISTÂNCIA3[[#This Row],[KM PARA PAGAMENTO DOS FRETES]]</f>
        <v>5.3480392156862742</v>
      </c>
      <c r="K205" s="6">
        <f t="shared" si="6"/>
        <v>661.4</v>
      </c>
      <c r="L205" s="6">
        <f>0.92*DISTÂNCIA3[[#This Row],[KM distancia]]*4.578</f>
        <v>429.59952000000004</v>
      </c>
      <c r="M205" s="6">
        <f t="shared" si="7"/>
        <v>1091</v>
      </c>
    </row>
    <row r="206" spans="1:13" hidden="1" x14ac:dyDescent="0.35">
      <c r="A206">
        <f>'DASE DADOS - DISTANCIA'!A206</f>
        <v>30664</v>
      </c>
      <c r="B206" t="str">
        <f>'DASE DADOS - DISTANCIA'!B206</f>
        <v>EDEVIR CONTI</v>
      </c>
      <c r="C206" t="str">
        <f>'DASE DADOS - DISTANCIA'!C206</f>
        <v xml:space="preserve"> A2</v>
      </c>
      <c r="D206" t="str">
        <f>'DASE DADOS - DISTANCIA'!E206</f>
        <v>PRANCHITA</v>
      </c>
      <c r="E206" t="str">
        <f>'DASE DADOS - DISTANCIA'!I206</f>
        <v>PLUSVAL</v>
      </c>
      <c r="F206" s="7">
        <v>156.5</v>
      </c>
      <c r="G206">
        <f>'DASE DADOS - DISTANCIA'!J206</f>
        <v>313</v>
      </c>
      <c r="H206" s="2">
        <v>420</v>
      </c>
      <c r="I206" s="2" t="e">
        <f>IF(#REF!&lt;17200,DISTÂNCIA3[[#This Row],[KM PARA PAGAMENTO DOS FRETES]]*4.74,((#REF!/17200)*4.74)*DISTÂNCIA3[[#This Row],[KM PARA PAGAMENTO DOS FRETES]])</f>
        <v>#REF!</v>
      </c>
      <c r="J206" s="4">
        <f>DISTÂNCIA3[[#This Row],[Valor CTE]]/DISTÂNCIA3[[#This Row],[KM PARA PAGAMENTO DOS FRETES]]</f>
        <v>5.0161022364217249</v>
      </c>
      <c r="K206" s="6">
        <f t="shared" si="6"/>
        <v>910.9</v>
      </c>
      <c r="L206" s="6">
        <f>0.92*DISTÂNCIA3[[#This Row],[KM distancia]]*4.578</f>
        <v>659.14044000000013</v>
      </c>
      <c r="M206" s="6">
        <f t="shared" si="7"/>
        <v>1570.04</v>
      </c>
    </row>
    <row r="207" spans="1:13" hidden="1" x14ac:dyDescent="0.35">
      <c r="A207">
        <f>'DASE DADOS - DISTANCIA'!A207</f>
        <v>30664</v>
      </c>
      <c r="B207" t="str">
        <f>'DASE DADOS - DISTANCIA'!B207</f>
        <v>EDEVIR CONTI</v>
      </c>
      <c r="C207" t="str">
        <f>'DASE DADOS - DISTANCIA'!C207</f>
        <v xml:space="preserve"> A1</v>
      </c>
      <c r="D207" t="str">
        <f>'DASE DADOS - DISTANCIA'!E207</f>
        <v>PRANCHITA</v>
      </c>
      <c r="E207" t="str">
        <f>'DASE DADOS - DISTANCIA'!I207</f>
        <v>PLUSVAL</v>
      </c>
      <c r="F207" s="7">
        <v>156.5</v>
      </c>
      <c r="G207">
        <f>'DASE DADOS - DISTANCIA'!J207</f>
        <v>313</v>
      </c>
      <c r="H207" s="2">
        <v>420</v>
      </c>
      <c r="I207" s="2" t="e">
        <f>IF(#REF!&lt;17200,DISTÂNCIA3[[#This Row],[KM PARA PAGAMENTO DOS FRETES]]*4.74,((#REF!/17200)*4.74)*DISTÂNCIA3[[#This Row],[KM PARA PAGAMENTO DOS FRETES]])</f>
        <v>#REF!</v>
      </c>
      <c r="J207" s="4">
        <f>DISTÂNCIA3[[#This Row],[Valor CTE]]/DISTÂNCIA3[[#This Row],[KM PARA PAGAMENTO DOS FRETES]]</f>
        <v>5.0161022364217249</v>
      </c>
      <c r="K207" s="6">
        <f t="shared" si="6"/>
        <v>910.9</v>
      </c>
      <c r="L207" s="6">
        <f>0.92*DISTÂNCIA3[[#This Row],[KM distancia]]*4.578</f>
        <v>659.14044000000013</v>
      </c>
      <c r="M207" s="6">
        <f t="shared" si="7"/>
        <v>1570.04</v>
      </c>
    </row>
    <row r="208" spans="1:13" hidden="1" x14ac:dyDescent="0.35">
      <c r="A208">
        <f>'DASE DADOS - DISTANCIA'!A208</f>
        <v>41901</v>
      </c>
      <c r="B208" t="str">
        <f>'DASE DADOS - DISTANCIA'!B208</f>
        <v>LUCAS EDUARDO LUFT</v>
      </c>
      <c r="C208" t="str">
        <f>'DASE DADOS - DISTANCIA'!C208</f>
        <v xml:space="preserve"> A2</v>
      </c>
      <c r="D208" t="str">
        <f>'DASE DADOS - DISTANCIA'!E208</f>
        <v>CAPANEMA</v>
      </c>
      <c r="E208" t="str">
        <f>'DASE DADOS - DISTANCIA'!I208</f>
        <v>PLUSVAL</v>
      </c>
      <c r="F208" s="7">
        <v>120</v>
      </c>
      <c r="G208">
        <v>240</v>
      </c>
      <c r="H208" s="2">
        <v>420</v>
      </c>
      <c r="I208" s="2" t="e">
        <f>IF(#REF!&lt;17200,DISTÂNCIA3[[#This Row],[KM PARA PAGAMENTO DOS FRETES]]*4.74,((#REF!/17200)*4.74)*DISTÂNCIA3[[#This Row],[KM PARA PAGAMENTO DOS FRETES]])</f>
        <v>#REF!</v>
      </c>
      <c r="J208" s="4">
        <f>DISTÂNCIA3[[#This Row],[Valor CTE]]/DISTÂNCIA3[[#This Row],[KM PARA PAGAMENTO DOS FRETES]]</f>
        <v>5.2050416666666672</v>
      </c>
      <c r="K208" s="6">
        <f t="shared" si="6"/>
        <v>743.8</v>
      </c>
      <c r="L208" s="6">
        <f>0.92*DISTÂNCIA3[[#This Row],[KM distancia]]*4.578</f>
        <v>505.41120000000006</v>
      </c>
      <c r="M208" s="6">
        <f t="shared" si="7"/>
        <v>1249.21</v>
      </c>
    </row>
    <row r="209" spans="1:13" hidden="1" x14ac:dyDescent="0.35">
      <c r="A209">
        <f>'DASE DADOS - DISTANCIA'!A209</f>
        <v>30058</v>
      </c>
      <c r="B209" t="str">
        <f>'DASE DADOS - DISTANCIA'!B209</f>
        <v>ELIMAR SCHINDLER</v>
      </c>
      <c r="C209" t="str">
        <f>'DASE DADOS - DISTANCIA'!C209</f>
        <v xml:space="preserve"> A1</v>
      </c>
      <c r="D209" t="str">
        <f>'DASE DADOS - DISTANCIA'!E209</f>
        <v>CAPANEMA</v>
      </c>
      <c r="E209" t="str">
        <f>'DASE DADOS - DISTANCIA'!I209</f>
        <v>PLUSVAL</v>
      </c>
      <c r="F209" s="7">
        <v>121.5</v>
      </c>
      <c r="G209">
        <f>'DASE DADOS - DISTANCIA'!J209</f>
        <v>243</v>
      </c>
      <c r="H209" s="2">
        <v>420</v>
      </c>
      <c r="I209" s="2" t="e">
        <f>IF(#REF!&lt;17200,DISTÂNCIA3[[#This Row],[KM PARA PAGAMENTO DOS FRETES]]*4.74,((#REF!/17200)*4.74)*DISTÂNCIA3[[#This Row],[KM PARA PAGAMENTO DOS FRETES]])</f>
        <v>#REF!</v>
      </c>
      <c r="J209" s="4">
        <f>DISTÂNCIA3[[#This Row],[Valor CTE]]/DISTÂNCIA3[[#This Row],[KM PARA PAGAMENTO DOS FRETES]]</f>
        <v>5.1950617283950624</v>
      </c>
      <c r="K209" s="6">
        <f t="shared" si="6"/>
        <v>750.67</v>
      </c>
      <c r="L209" s="6">
        <f>0.92*DISTÂNCIA3[[#This Row],[KM distancia]]*4.578</f>
        <v>511.72884000000005</v>
      </c>
      <c r="M209" s="6">
        <f t="shared" si="7"/>
        <v>1262.4000000000001</v>
      </c>
    </row>
    <row r="210" spans="1:13" hidden="1" x14ac:dyDescent="0.35">
      <c r="A210">
        <f>'DASE DADOS - DISTANCIA'!A210</f>
        <v>41901</v>
      </c>
      <c r="B210" t="str">
        <f>'DASE DADOS - DISTANCIA'!B210</f>
        <v>LUCAS EDUARDO LUFT</v>
      </c>
      <c r="C210" t="str">
        <f>'DASE DADOS - DISTANCIA'!C210</f>
        <v xml:space="preserve"> A1</v>
      </c>
      <c r="D210" t="str">
        <f>'DASE DADOS - DISTANCIA'!E210</f>
        <v>CAPANEMA</v>
      </c>
      <c r="E210" t="str">
        <f>'DASE DADOS - DISTANCIA'!I210</f>
        <v>PLUSVAL</v>
      </c>
      <c r="F210" s="7">
        <v>120</v>
      </c>
      <c r="G210">
        <f>'DASE DADOS - DISTANCIA'!J210</f>
        <v>240</v>
      </c>
      <c r="H210" s="2">
        <v>420</v>
      </c>
      <c r="I210" s="2" t="e">
        <f>IF(#REF!&lt;17200,DISTÂNCIA3[[#This Row],[KM PARA PAGAMENTO DOS FRETES]]*4.74,((#REF!/17200)*4.74)*DISTÂNCIA3[[#This Row],[KM PARA PAGAMENTO DOS FRETES]])</f>
        <v>#REF!</v>
      </c>
      <c r="J210" s="4">
        <f>DISTÂNCIA3[[#This Row],[Valor CTE]]/DISTÂNCIA3[[#This Row],[KM PARA PAGAMENTO DOS FRETES]]</f>
        <v>5.2050416666666672</v>
      </c>
      <c r="K210" s="6">
        <f t="shared" si="6"/>
        <v>743.8</v>
      </c>
      <c r="L210" s="6">
        <f>0.92*DISTÂNCIA3[[#This Row],[KM distancia]]*4.578</f>
        <v>505.41120000000006</v>
      </c>
      <c r="M210" s="6">
        <f t="shared" si="7"/>
        <v>1249.21</v>
      </c>
    </row>
    <row r="211" spans="1:13" hidden="1" x14ac:dyDescent="0.35">
      <c r="A211">
        <f>'DASE DADOS - DISTANCIA'!A211</f>
        <v>29954</v>
      </c>
      <c r="B211" t="str">
        <f>'DASE DADOS - DISTANCIA'!B211</f>
        <v>ELIMARI MAROSTIKA ROSO</v>
      </c>
      <c r="C211" t="str">
        <f>'DASE DADOS - DISTANCIA'!C211</f>
        <v xml:space="preserve"> A1</v>
      </c>
      <c r="D211" t="str">
        <f>'DASE DADOS - DISTANCIA'!E211</f>
        <v>CAPANEMA</v>
      </c>
      <c r="E211" t="str">
        <f>'DASE DADOS - DISTANCIA'!I211</f>
        <v>PLUSVAL</v>
      </c>
      <c r="F211" s="7">
        <v>121.5</v>
      </c>
      <c r="G211">
        <f>'DASE DADOS - DISTANCIA'!J211</f>
        <v>243</v>
      </c>
      <c r="H211" s="2">
        <v>420</v>
      </c>
      <c r="I211" s="2" t="e">
        <f>IF(#REF!&lt;17200,DISTÂNCIA3[[#This Row],[KM PARA PAGAMENTO DOS FRETES]]*4.74,((#REF!/17200)*4.74)*DISTÂNCIA3[[#This Row],[KM PARA PAGAMENTO DOS FRETES]])</f>
        <v>#REF!</v>
      </c>
      <c r="J211" s="4">
        <f>DISTÂNCIA3[[#This Row],[Valor CTE]]/DISTÂNCIA3[[#This Row],[KM PARA PAGAMENTO DOS FRETES]]</f>
        <v>5.1950617283950624</v>
      </c>
      <c r="K211" s="6">
        <f t="shared" si="6"/>
        <v>750.67</v>
      </c>
      <c r="L211" s="6">
        <f>0.92*DISTÂNCIA3[[#This Row],[KM distancia]]*4.578</f>
        <v>511.72884000000005</v>
      </c>
      <c r="M211" s="6">
        <f t="shared" si="7"/>
        <v>1262.4000000000001</v>
      </c>
    </row>
    <row r="212" spans="1:13" hidden="1" x14ac:dyDescent="0.35">
      <c r="A212">
        <f>'DASE DADOS - DISTANCIA'!A212</f>
        <v>29432</v>
      </c>
      <c r="B212" t="str">
        <f>'DASE DADOS - DISTANCIA'!B212</f>
        <v>DELIRDES DAL PIVA KIPPER</v>
      </c>
      <c r="C212" t="str">
        <f>'DASE DADOS - DISTANCIA'!C212</f>
        <v xml:space="preserve"> A1</v>
      </c>
      <c r="D212" t="str">
        <f>'DASE DADOS - DISTANCIA'!E212</f>
        <v>CAPANEMA</v>
      </c>
      <c r="E212" t="str">
        <f>'DASE DADOS - DISTANCIA'!I212</f>
        <v>PLUSVAL</v>
      </c>
      <c r="F212" s="7">
        <v>124.5</v>
      </c>
      <c r="G212">
        <f>'DASE DADOS - DISTANCIA'!J212</f>
        <v>249</v>
      </c>
      <c r="H212" s="2">
        <v>420</v>
      </c>
      <c r="I212" s="2" t="e">
        <f>IF(#REF!&lt;17200,DISTÂNCIA3[[#This Row],[KM PARA PAGAMENTO DOS FRETES]]*4.74,((#REF!/17200)*4.74)*DISTÂNCIA3[[#This Row],[KM PARA PAGAMENTO DOS FRETES]])</f>
        <v>#REF!</v>
      </c>
      <c r="J212" s="4">
        <f>DISTÂNCIA3[[#This Row],[Valor CTE]]/DISTÂNCIA3[[#This Row],[KM PARA PAGAMENTO DOS FRETES]]</f>
        <v>5.1757831325301202</v>
      </c>
      <c r="K212" s="6">
        <f t="shared" si="6"/>
        <v>764.4</v>
      </c>
      <c r="L212" s="6">
        <f>0.92*DISTÂNCIA3[[#This Row],[KM distancia]]*4.578</f>
        <v>524.36412000000007</v>
      </c>
      <c r="M212" s="6">
        <f t="shared" si="7"/>
        <v>1288.77</v>
      </c>
    </row>
    <row r="213" spans="1:13" hidden="1" x14ac:dyDescent="0.35">
      <c r="A213">
        <f>'DASE DADOS - DISTANCIA'!A213</f>
        <v>29423</v>
      </c>
      <c r="B213" t="str">
        <f>'DASE DADOS - DISTANCIA'!B213</f>
        <v>ELIO MINSKI</v>
      </c>
      <c r="C213" t="str">
        <f>'DASE DADOS - DISTANCIA'!C213</f>
        <v xml:space="preserve"> A1</v>
      </c>
      <c r="D213" t="str">
        <f>'DASE DADOS - DISTANCIA'!E213</f>
        <v>CAPANEMA</v>
      </c>
      <c r="E213" t="str">
        <f>'DASE DADOS - DISTANCIA'!I213</f>
        <v>PLUSVAL</v>
      </c>
      <c r="F213" s="7">
        <v>114.5</v>
      </c>
      <c r="G213">
        <f>'DASE DADOS - DISTANCIA'!J213</f>
        <v>229</v>
      </c>
      <c r="H213" s="2">
        <v>420</v>
      </c>
      <c r="I213" s="2" t="e">
        <f>IF(#REF!&lt;17200,DISTÂNCIA3[[#This Row],[KM PARA PAGAMENTO DOS FRETES]]*4.74,((#REF!/17200)*4.74)*DISTÂNCIA3[[#This Row],[KM PARA PAGAMENTO DOS FRETES]])</f>
        <v>#REF!</v>
      </c>
      <c r="J213" s="4">
        <f>DISTÂNCIA3[[#This Row],[Valor CTE]]/DISTÂNCIA3[[#This Row],[KM PARA PAGAMENTO DOS FRETES]]</f>
        <v>5.2439737991266373</v>
      </c>
      <c r="K213" s="6">
        <f t="shared" ref="K213:K247" si="8">ROUND((F213*4.578)+194.44,2)</f>
        <v>718.62</v>
      </c>
      <c r="L213" s="6">
        <f>0.92*DISTÂNCIA3[[#This Row],[KM distancia]]*4.578</f>
        <v>482.24652000000003</v>
      </c>
      <c r="M213" s="6">
        <f t="shared" ref="M213:M247" si="9">ROUND(((F213*4.578)+194.44)+(0.92*F213*4.578),2)</f>
        <v>1200.8699999999999</v>
      </c>
    </row>
    <row r="214" spans="1:13" hidden="1" x14ac:dyDescent="0.35">
      <c r="A214">
        <f>'DASE DADOS - DISTANCIA'!A214</f>
        <v>29950</v>
      </c>
      <c r="B214" t="str">
        <f>'DASE DADOS - DISTANCIA'!B214</f>
        <v>DELMIR LUIZ TRARBACH</v>
      </c>
      <c r="C214" t="str">
        <f>'DASE DADOS - DISTANCIA'!C214</f>
        <v xml:space="preserve"> A2</v>
      </c>
      <c r="D214" t="str">
        <f>'DASE DADOS - DISTANCIA'!E214</f>
        <v>CAPANEMA</v>
      </c>
      <c r="E214" t="str">
        <f>'DASE DADOS - DISTANCIA'!I214</f>
        <v>PLUSVAL</v>
      </c>
      <c r="F214" s="7">
        <v>116</v>
      </c>
      <c r="G214">
        <f>'DASE DADOS - DISTANCIA'!J214</f>
        <v>232</v>
      </c>
      <c r="H214" s="2">
        <v>420</v>
      </c>
      <c r="I214" s="2" t="e">
        <f>IF(#REF!&lt;17200,DISTÂNCIA3[[#This Row],[KM PARA PAGAMENTO DOS FRETES]]*4.74,((#REF!/17200)*4.74)*DISTÂNCIA3[[#This Row],[KM PARA PAGAMENTO DOS FRETES]])</f>
        <v>#REF!</v>
      </c>
      <c r="J214" s="4">
        <f>DISTÂNCIA3[[#This Row],[Valor CTE]]/DISTÂNCIA3[[#This Row],[KM PARA PAGAMENTO DOS FRETES]]</f>
        <v>5.2329741379310342</v>
      </c>
      <c r="K214" s="6">
        <f t="shared" si="8"/>
        <v>725.49</v>
      </c>
      <c r="L214" s="6">
        <f>0.92*DISTÂNCIA3[[#This Row],[KM distancia]]*4.578</f>
        <v>488.56416000000002</v>
      </c>
      <c r="M214" s="6">
        <f t="shared" si="9"/>
        <v>1214.05</v>
      </c>
    </row>
    <row r="215" spans="1:13" hidden="1" x14ac:dyDescent="0.35">
      <c r="A215">
        <f>'DASE DADOS - DISTANCIA'!A215</f>
        <v>29423</v>
      </c>
      <c r="B215" t="str">
        <f>'DASE DADOS - DISTANCIA'!B215</f>
        <v>ELIO MINSKI</v>
      </c>
      <c r="C215" t="str">
        <f>'DASE DADOS - DISTANCIA'!C215</f>
        <v xml:space="preserve"> A2</v>
      </c>
      <c r="D215" t="str">
        <f>'DASE DADOS - DISTANCIA'!E215</f>
        <v>CAPANEMA</v>
      </c>
      <c r="E215" t="str">
        <f>'DASE DADOS - DISTANCIA'!I215</f>
        <v>PLUSVAL</v>
      </c>
      <c r="F215" s="7">
        <v>114.5</v>
      </c>
      <c r="G215">
        <f>'DASE DADOS - DISTANCIA'!J215</f>
        <v>229</v>
      </c>
      <c r="H215" s="2">
        <v>420</v>
      </c>
      <c r="I215" s="2" t="e">
        <f>IF(#REF!&lt;17200,DISTÂNCIA3[[#This Row],[KM PARA PAGAMENTO DOS FRETES]]*4.74,((#REF!/17200)*4.74)*DISTÂNCIA3[[#This Row],[KM PARA PAGAMENTO DOS FRETES]])</f>
        <v>#REF!</v>
      </c>
      <c r="J215" s="4">
        <f>DISTÂNCIA3[[#This Row],[Valor CTE]]/DISTÂNCIA3[[#This Row],[KM PARA PAGAMENTO DOS FRETES]]</f>
        <v>5.2439737991266373</v>
      </c>
      <c r="K215" s="6">
        <f t="shared" si="8"/>
        <v>718.62</v>
      </c>
      <c r="L215" s="6">
        <f>0.92*DISTÂNCIA3[[#This Row],[KM distancia]]*4.578</f>
        <v>482.24652000000003</v>
      </c>
      <c r="M215" s="6">
        <f t="shared" si="9"/>
        <v>1200.8699999999999</v>
      </c>
    </row>
    <row r="216" spans="1:13" hidden="1" x14ac:dyDescent="0.35">
      <c r="A216">
        <f>'DASE DADOS - DISTANCIA'!A216</f>
        <v>29950</v>
      </c>
      <c r="B216" t="str">
        <f>'DASE DADOS - DISTANCIA'!B216</f>
        <v>DELMIR LUIZ TRARBACH</v>
      </c>
      <c r="C216" t="str">
        <f>'DASE DADOS - DISTANCIA'!C216</f>
        <v xml:space="preserve"> A1</v>
      </c>
      <c r="D216" t="str">
        <f>'DASE DADOS - DISTANCIA'!E216</f>
        <v>CAPANEMA</v>
      </c>
      <c r="E216" t="str">
        <f>'DASE DADOS - DISTANCIA'!I216</f>
        <v>PLUSVAL</v>
      </c>
      <c r="F216" s="7">
        <v>116</v>
      </c>
      <c r="G216">
        <f>'DASE DADOS - DISTANCIA'!J216</f>
        <v>232</v>
      </c>
      <c r="H216" s="2">
        <v>420</v>
      </c>
      <c r="I216" s="2" t="e">
        <f>IF(#REF!&lt;17200,DISTÂNCIA3[[#This Row],[KM PARA PAGAMENTO DOS FRETES]]*4.74,((#REF!/17200)*4.74)*DISTÂNCIA3[[#This Row],[KM PARA PAGAMENTO DOS FRETES]])</f>
        <v>#REF!</v>
      </c>
      <c r="J216" s="4">
        <f>DISTÂNCIA3[[#This Row],[Valor CTE]]/DISTÂNCIA3[[#This Row],[KM PARA PAGAMENTO DOS FRETES]]</f>
        <v>5.2329741379310342</v>
      </c>
      <c r="K216" s="6">
        <f t="shared" si="8"/>
        <v>725.49</v>
      </c>
      <c r="L216" s="6">
        <f>0.92*DISTÂNCIA3[[#This Row],[KM distancia]]*4.578</f>
        <v>488.56416000000002</v>
      </c>
      <c r="M216" s="6">
        <f t="shared" si="9"/>
        <v>1214.05</v>
      </c>
    </row>
    <row r="217" spans="1:13" hidden="1" x14ac:dyDescent="0.35">
      <c r="A217">
        <f>'DASE DADOS - DISTANCIA'!A217</f>
        <v>835528</v>
      </c>
      <c r="B217" t="str">
        <f>'DASE DADOS - DISTANCIA'!B217</f>
        <v>GEFERSON MOSSULIN</v>
      </c>
      <c r="C217" t="str">
        <f>'DASE DADOS - DISTANCIA'!C217</f>
        <v xml:space="preserve"> A1</v>
      </c>
      <c r="D217" t="str">
        <f>'DASE DADOS - DISTANCIA'!E217</f>
        <v>CAPITÃO LEÔNIDAS MARQUES</v>
      </c>
      <c r="E217" t="str">
        <f>'DASE DADOS - DISTANCIA'!I217</f>
        <v>PLUSVAL</v>
      </c>
      <c r="F217" s="7">
        <v>70</v>
      </c>
      <c r="G217">
        <f>'DASE DADOS - DISTANCIA'!J217</f>
        <v>140</v>
      </c>
      <c r="H217" s="2">
        <v>420</v>
      </c>
      <c r="I217" s="2" t="e">
        <f>IF(#REF!&lt;17200,DISTÂNCIA3[[#This Row],[KM PARA PAGAMENTO DOS FRETES]]*4.74,((#REF!/17200)*4.74)*DISTÂNCIA3[[#This Row],[KM PARA PAGAMENTO DOS FRETES]])</f>
        <v>#REF!</v>
      </c>
      <c r="J217" s="4">
        <f>DISTÂNCIA3[[#This Row],[Valor CTE]]/DISTÂNCIA3[[#This Row],[KM PARA PAGAMENTO DOS FRETES]]</f>
        <v>5.7837142857142858</v>
      </c>
      <c r="K217" s="6">
        <f t="shared" si="8"/>
        <v>514.9</v>
      </c>
      <c r="L217" s="6">
        <f>0.92*DISTÂNCIA3[[#This Row],[KM distancia]]*4.578</f>
        <v>294.82320000000004</v>
      </c>
      <c r="M217" s="6">
        <f t="shared" si="9"/>
        <v>809.72</v>
      </c>
    </row>
    <row r="218" spans="1:13" hidden="1" x14ac:dyDescent="0.35">
      <c r="A218">
        <f>'DASE DADOS - DISTANCIA'!A218</f>
        <v>984442</v>
      </c>
      <c r="B218" t="str">
        <f>'DASE DADOS - DISTANCIA'!B218</f>
        <v>GILBERTO PAGLIARINI</v>
      </c>
      <c r="C218" t="str">
        <f>'DASE DADOS - DISTANCIA'!C218</f>
        <v xml:space="preserve"> A1</v>
      </c>
      <c r="D218" t="str">
        <f>'DASE DADOS - DISTANCIA'!E218</f>
        <v>PRANCHITA</v>
      </c>
      <c r="E218" t="str">
        <f>'DASE DADOS - DISTANCIA'!I218</f>
        <v>PLUSVAL</v>
      </c>
      <c r="F218" s="7">
        <v>139.5</v>
      </c>
      <c r="G218">
        <f>'DASE DADOS - DISTANCIA'!J218</f>
        <v>279</v>
      </c>
      <c r="H218" s="2">
        <v>420</v>
      </c>
      <c r="I218" s="2" t="e">
        <f>IF(#REF!&lt;17200,DISTÂNCIA3[[#This Row],[KM PARA PAGAMENTO DOS FRETES]]*4.74,((#REF!/17200)*4.74)*DISTÂNCIA3[[#This Row],[KM PARA PAGAMENTO DOS FRETES]])</f>
        <v>#REF!</v>
      </c>
      <c r="J218" s="4">
        <f>DISTÂNCIA3[[#This Row],[Valor CTE]]/DISTÂNCIA3[[#This Row],[KM PARA PAGAMENTO DOS FRETES]]</f>
        <v>5.0917921146953402</v>
      </c>
      <c r="K218" s="6">
        <f t="shared" si="8"/>
        <v>833.07</v>
      </c>
      <c r="L218" s="6">
        <f>0.92*DISTÂNCIA3[[#This Row],[KM distancia]]*4.578</f>
        <v>587.54052000000001</v>
      </c>
      <c r="M218" s="6">
        <f t="shared" si="9"/>
        <v>1420.61</v>
      </c>
    </row>
    <row r="219" spans="1:13" hidden="1" x14ac:dyDescent="0.35">
      <c r="A219">
        <f>'DASE DADOS - DISTANCIA'!A219</f>
        <v>30459</v>
      </c>
      <c r="B219" t="str">
        <f>'DASE DADOS - DISTANCIA'!B219</f>
        <v>DILCEU ERNESTO ROMAN</v>
      </c>
      <c r="C219" t="str">
        <f>'DASE DADOS - DISTANCIA'!C219</f>
        <v xml:space="preserve"> A1</v>
      </c>
      <c r="D219" t="str">
        <f>'DASE DADOS - DISTANCIA'!E219</f>
        <v>CAPITÃO LEÔNIDAS MARQUES</v>
      </c>
      <c r="E219" t="str">
        <f>'DASE DADOS - DISTANCIA'!I219</f>
        <v>PLUSVAL</v>
      </c>
      <c r="F219" s="7">
        <v>69.5</v>
      </c>
      <c r="G219">
        <f>'DASE DADOS - DISTANCIA'!J219</f>
        <v>139</v>
      </c>
      <c r="H219" s="2">
        <v>420</v>
      </c>
      <c r="I219" s="2" t="e">
        <f>IF(#REF!&lt;17200,DISTÂNCIA3[[#This Row],[KM PARA PAGAMENTO DOS FRETES]]*4.74,((#REF!/17200)*4.74)*DISTÂNCIA3[[#This Row],[KM PARA PAGAMENTO DOS FRETES]])</f>
        <v>#REF!</v>
      </c>
      <c r="J219" s="4">
        <f>DISTÂNCIA3[[#This Row],[Valor CTE]]/DISTÂNCIA3[[#This Row],[KM PARA PAGAMENTO DOS FRETES]]</f>
        <v>5.793741007194245</v>
      </c>
      <c r="K219" s="6">
        <f t="shared" si="8"/>
        <v>512.61</v>
      </c>
      <c r="L219" s="6">
        <f>0.92*DISTÂNCIA3[[#This Row],[KM distancia]]*4.578</f>
        <v>292.71732000000003</v>
      </c>
      <c r="M219" s="6">
        <f t="shared" si="9"/>
        <v>805.33</v>
      </c>
    </row>
    <row r="220" spans="1:13" hidden="1" x14ac:dyDescent="0.35">
      <c r="A220">
        <f>'DASE DADOS - DISTANCIA'!A220</f>
        <v>984442</v>
      </c>
      <c r="B220" t="str">
        <f>'DASE DADOS - DISTANCIA'!B220</f>
        <v>GILBERTO PAGLIARINI</v>
      </c>
      <c r="C220" t="str">
        <f>'DASE DADOS - DISTANCIA'!C220</f>
        <v>A2</v>
      </c>
      <c r="D220" t="str">
        <f>'DASE DADOS - DISTANCIA'!E220</f>
        <v>PRANCHITA</v>
      </c>
      <c r="E220" t="str">
        <f>'DASE DADOS - DISTANCIA'!I220</f>
        <v>PLUSVAL</v>
      </c>
      <c r="F220" s="7">
        <v>139.5</v>
      </c>
      <c r="G220">
        <f>'DASE DADOS - DISTANCIA'!J220</f>
        <v>279</v>
      </c>
      <c r="H220" s="2">
        <v>420</v>
      </c>
      <c r="I220" s="2" t="e">
        <f>IF(#REF!&lt;17200,DISTÂNCIA3[[#This Row],[KM PARA PAGAMENTO DOS FRETES]]*4.74,((#REF!/17200)*4.74)*DISTÂNCIA3[[#This Row],[KM PARA PAGAMENTO DOS FRETES]])</f>
        <v>#REF!</v>
      </c>
      <c r="J220" s="4">
        <f>DISTÂNCIA3[[#This Row],[Valor CTE]]/DISTÂNCIA3[[#This Row],[KM PARA PAGAMENTO DOS FRETES]]</f>
        <v>5.0917921146953402</v>
      </c>
      <c r="K220" s="6">
        <f t="shared" si="8"/>
        <v>833.07</v>
      </c>
      <c r="L220" s="6">
        <f>0.92*DISTÂNCIA3[[#This Row],[KM distancia]]*4.578</f>
        <v>587.54052000000001</v>
      </c>
      <c r="M220" s="6">
        <f t="shared" si="9"/>
        <v>1420.61</v>
      </c>
    </row>
    <row r="221" spans="1:13" hidden="1" x14ac:dyDescent="0.35">
      <c r="A221">
        <f>'DASE DADOS - DISTANCIA'!A221</f>
        <v>30459</v>
      </c>
      <c r="B221" t="str">
        <f>'DASE DADOS - DISTANCIA'!B221</f>
        <v>DILCEU ERNESTO ROMAN</v>
      </c>
      <c r="C221" t="str">
        <f>'DASE DADOS - DISTANCIA'!C221</f>
        <v xml:space="preserve"> A2</v>
      </c>
      <c r="D221" t="str">
        <f>'DASE DADOS - DISTANCIA'!E221</f>
        <v>CAPITÃO LEÔNIDAS MARQUES</v>
      </c>
      <c r="E221" t="str">
        <f>'DASE DADOS - DISTANCIA'!I221</f>
        <v>PLUSVAL</v>
      </c>
      <c r="F221" s="7">
        <v>69.5</v>
      </c>
      <c r="G221">
        <f>'DASE DADOS - DISTANCIA'!J221</f>
        <v>139</v>
      </c>
      <c r="H221" s="2">
        <v>420</v>
      </c>
      <c r="I221" s="2" t="e">
        <f>IF(#REF!&lt;17200,DISTÂNCIA3[[#This Row],[KM PARA PAGAMENTO DOS FRETES]]*4.74,((#REF!/17200)*4.74)*DISTÂNCIA3[[#This Row],[KM PARA PAGAMENTO DOS FRETES]])</f>
        <v>#REF!</v>
      </c>
      <c r="J221" s="4">
        <f>DISTÂNCIA3[[#This Row],[Valor CTE]]/DISTÂNCIA3[[#This Row],[KM PARA PAGAMENTO DOS FRETES]]</f>
        <v>5.793741007194245</v>
      </c>
      <c r="K221" s="6">
        <f t="shared" si="8"/>
        <v>512.61</v>
      </c>
      <c r="L221" s="6">
        <f>0.92*DISTÂNCIA3[[#This Row],[KM distancia]]*4.578</f>
        <v>292.71732000000003</v>
      </c>
      <c r="M221" s="6">
        <f t="shared" si="9"/>
        <v>805.33</v>
      </c>
    </row>
    <row r="222" spans="1:13" hidden="1" x14ac:dyDescent="0.35">
      <c r="A222">
        <f>'DASE DADOS - DISTANCIA'!A222</f>
        <v>41541</v>
      </c>
      <c r="B222" t="str">
        <f>'DASE DADOS - DISTANCIA'!B222</f>
        <v>GILMAR AFONSO ESTIVAL</v>
      </c>
      <c r="C222" t="str">
        <f>'DASE DADOS - DISTANCIA'!C222</f>
        <v xml:space="preserve"> A1</v>
      </c>
      <c r="D222" t="str">
        <f>'DASE DADOS - DISTANCIA'!E222</f>
        <v>CAPITÃO LEÔNIDAS MARQUES</v>
      </c>
      <c r="E222" t="str">
        <f>'DASE DADOS - DISTANCIA'!I222</f>
        <v>PLUSVAL</v>
      </c>
      <c r="F222" s="7">
        <v>68.5</v>
      </c>
      <c r="G222">
        <f>'DASE DADOS - DISTANCIA'!J222</f>
        <v>137</v>
      </c>
      <c r="H222" s="2">
        <v>420</v>
      </c>
      <c r="I222" s="2" t="e">
        <f>IF(#REF!&lt;17200,DISTÂNCIA3[[#This Row],[KM PARA PAGAMENTO DOS FRETES]]*4.74,((#REF!/17200)*4.74)*DISTÂNCIA3[[#This Row],[KM PARA PAGAMENTO DOS FRETES]])</f>
        <v>#REF!</v>
      </c>
      <c r="J222" s="4">
        <f>DISTÂNCIA3[[#This Row],[Valor CTE]]/DISTÂNCIA3[[#This Row],[KM PARA PAGAMENTO DOS FRETES]]</f>
        <v>5.8141605839416055</v>
      </c>
      <c r="K222" s="6">
        <f t="shared" si="8"/>
        <v>508.03</v>
      </c>
      <c r="L222" s="6">
        <f>0.92*DISTÂNCIA3[[#This Row],[KM distancia]]*4.578</f>
        <v>288.50556000000006</v>
      </c>
      <c r="M222" s="6">
        <f t="shared" si="9"/>
        <v>796.54</v>
      </c>
    </row>
    <row r="223" spans="1:13" hidden="1" x14ac:dyDescent="0.35">
      <c r="A223">
        <f>'DASE DADOS - DISTANCIA'!A223</f>
        <v>30625</v>
      </c>
      <c r="B223" t="str">
        <f>'DASE DADOS - DISTANCIA'!B223</f>
        <v>GILNEI JOSE ESTIVAL</v>
      </c>
      <c r="C223" t="str">
        <f>'DASE DADOS - DISTANCIA'!C223</f>
        <v xml:space="preserve"> A1</v>
      </c>
      <c r="D223" t="str">
        <f>'DASE DADOS - DISTANCIA'!E223</f>
        <v>CAPITÃO LEÔNIDAS MARQUES</v>
      </c>
      <c r="E223" t="str">
        <f>'DASE DADOS - DISTANCIA'!I223</f>
        <v>PLUSVAL</v>
      </c>
      <c r="F223" s="7">
        <v>68.5</v>
      </c>
      <c r="G223">
        <f>'DASE DADOS - DISTANCIA'!J223</f>
        <v>137</v>
      </c>
      <c r="H223" s="2">
        <v>420</v>
      </c>
      <c r="I223" s="2" t="e">
        <f>IF(#REF!&lt;17200,DISTÂNCIA3[[#This Row],[KM PARA PAGAMENTO DOS FRETES]]*4.74,((#REF!/17200)*4.74)*DISTÂNCIA3[[#This Row],[KM PARA PAGAMENTO DOS FRETES]])</f>
        <v>#REF!</v>
      </c>
      <c r="J223" s="4">
        <f>DISTÂNCIA3[[#This Row],[Valor CTE]]/DISTÂNCIA3[[#This Row],[KM PARA PAGAMENTO DOS FRETES]]</f>
        <v>5.8141605839416055</v>
      </c>
      <c r="K223" s="6">
        <f t="shared" si="8"/>
        <v>508.03</v>
      </c>
      <c r="L223" s="6">
        <f>0.92*DISTÂNCIA3[[#This Row],[KM distancia]]*4.578</f>
        <v>288.50556000000006</v>
      </c>
      <c r="M223" s="6">
        <f t="shared" si="9"/>
        <v>796.54</v>
      </c>
    </row>
    <row r="224" spans="1:13" hidden="1" x14ac:dyDescent="0.35">
      <c r="A224">
        <f>'DASE DADOS - DISTANCIA'!A224</f>
        <v>30038</v>
      </c>
      <c r="B224" t="str">
        <f>'DASE DADOS - DISTANCIA'!B224</f>
        <v>ISMAR DARCI DAL PIVA</v>
      </c>
      <c r="C224" t="str">
        <f>'DASE DADOS - DISTANCIA'!C224</f>
        <v xml:space="preserve"> A1</v>
      </c>
      <c r="D224" t="str">
        <f>'DASE DADOS - DISTANCIA'!E224</f>
        <v>CAPANEMA</v>
      </c>
      <c r="E224" t="str">
        <f>'DASE DADOS - DISTANCIA'!I224</f>
        <v>PLUSVAL</v>
      </c>
      <c r="F224" s="7">
        <v>112.5</v>
      </c>
      <c r="G224">
        <f>'DASE DADOS - DISTANCIA'!J224</f>
        <v>225</v>
      </c>
      <c r="H224" s="2">
        <v>420</v>
      </c>
      <c r="I224" s="2" t="e">
        <f>IF(#REF!&lt;17200,DISTÂNCIA3[[#This Row],[KM PARA PAGAMENTO DOS FRETES]]*4.74,((#REF!/17200)*4.74)*DISTÂNCIA3[[#This Row],[KM PARA PAGAMENTO DOS FRETES]])</f>
        <v>#REF!</v>
      </c>
      <c r="J224" s="4">
        <f>DISTÂNCIA3[[#This Row],[Valor CTE]]/DISTÂNCIA3[[#This Row],[KM PARA PAGAMENTO DOS FRETES]]</f>
        <v>5.2590666666666666</v>
      </c>
      <c r="K224" s="6">
        <f t="shared" si="8"/>
        <v>709.47</v>
      </c>
      <c r="L224" s="6">
        <f>0.92*DISTÂNCIA3[[#This Row],[KM distancia]]*4.578</f>
        <v>473.82300000000004</v>
      </c>
      <c r="M224" s="6">
        <f t="shared" si="9"/>
        <v>1183.29</v>
      </c>
    </row>
    <row r="225" spans="1:13" hidden="1" x14ac:dyDescent="0.35">
      <c r="A225">
        <f>'DASE DADOS - DISTANCIA'!A225</f>
        <v>730289</v>
      </c>
      <c r="B225" t="str">
        <f>'DASE DADOS - DISTANCIA'!B225</f>
        <v>DILVANO MACHADO</v>
      </c>
      <c r="C225" t="str">
        <f>'DASE DADOS - DISTANCIA'!C225</f>
        <v xml:space="preserve"> A1</v>
      </c>
      <c r="D225" t="str">
        <f>'DASE DADOS - DISTANCIA'!E225</f>
        <v>TRÊS BARRAS DO PARANÁ</v>
      </c>
      <c r="E225" t="str">
        <f>'DASE DADOS - DISTANCIA'!I225</f>
        <v>PLUSVAL</v>
      </c>
      <c r="F225" s="7">
        <v>97</v>
      </c>
      <c r="G225">
        <f>'DASE DADOS - DISTANCIA'!J225</f>
        <v>194</v>
      </c>
      <c r="H225" s="2">
        <v>420</v>
      </c>
      <c r="I225" s="2" t="e">
        <f>IF(#REF!&lt;17200,DISTÂNCIA3[[#This Row],[KM PARA PAGAMENTO DOS FRETES]]*4.74,((#REF!/17200)*4.74)*DISTÂNCIA3[[#This Row],[KM PARA PAGAMENTO DOS FRETES]])</f>
        <v>#REF!</v>
      </c>
      <c r="J225" s="4">
        <f>DISTÂNCIA3[[#This Row],[Valor CTE]]/DISTÂNCIA3[[#This Row],[KM PARA PAGAMENTO DOS FRETES]]</f>
        <v>5.3971649484536082</v>
      </c>
      <c r="K225" s="6">
        <f t="shared" si="8"/>
        <v>638.51</v>
      </c>
      <c r="L225" s="6">
        <f>0.92*DISTÂNCIA3[[#This Row],[KM distancia]]*4.578</f>
        <v>408.54072000000008</v>
      </c>
      <c r="M225" s="6">
        <f t="shared" si="9"/>
        <v>1047.05</v>
      </c>
    </row>
    <row r="226" spans="1:13" hidden="1" x14ac:dyDescent="0.35">
      <c r="A226">
        <f>'DASE DADOS - DISTANCIA'!A226</f>
        <v>30038</v>
      </c>
      <c r="B226" t="str">
        <f>'DASE DADOS - DISTANCIA'!B226</f>
        <v>ISMAR DARCI DAL PIVA</v>
      </c>
      <c r="C226" t="str">
        <f>'DASE DADOS - DISTANCIA'!C226</f>
        <v xml:space="preserve"> A2</v>
      </c>
      <c r="D226" t="str">
        <f>'DASE DADOS - DISTANCIA'!E226</f>
        <v>CAPANEMA</v>
      </c>
      <c r="E226" t="str">
        <f>'DASE DADOS - DISTANCIA'!I226</f>
        <v>PLUSVAL</v>
      </c>
      <c r="F226" s="7">
        <v>112.5</v>
      </c>
      <c r="G226">
        <f>'DASE DADOS - DISTANCIA'!J226</f>
        <v>225</v>
      </c>
      <c r="H226" s="2">
        <v>420</v>
      </c>
      <c r="I226" s="2" t="e">
        <f>IF(#REF!&lt;17200,DISTÂNCIA3[[#This Row],[KM PARA PAGAMENTO DOS FRETES]]*4.74,((#REF!/17200)*4.74)*DISTÂNCIA3[[#This Row],[KM PARA PAGAMENTO DOS FRETES]])</f>
        <v>#REF!</v>
      </c>
      <c r="J226" s="4">
        <f>DISTÂNCIA3[[#This Row],[Valor CTE]]/DISTÂNCIA3[[#This Row],[KM PARA PAGAMENTO DOS FRETES]]</f>
        <v>5.2590666666666666</v>
      </c>
      <c r="K226" s="6">
        <f t="shared" si="8"/>
        <v>709.47</v>
      </c>
      <c r="L226" s="6">
        <f>0.92*DISTÂNCIA3[[#This Row],[KM distancia]]*4.578</f>
        <v>473.82300000000004</v>
      </c>
      <c r="M226" s="6">
        <f t="shared" si="9"/>
        <v>1183.29</v>
      </c>
    </row>
    <row r="227" spans="1:13" hidden="1" x14ac:dyDescent="0.35">
      <c r="A227">
        <f>'DASE DADOS - DISTANCIA'!A227</f>
        <v>0</v>
      </c>
      <c r="B227" t="str">
        <f>'DASE DADOS - DISTANCIA'!B227</f>
        <v>CLEUSA DE SOUZA RIBEIRO</v>
      </c>
      <c r="C227" t="str">
        <f>'DASE DADOS - DISTANCIA'!C227</f>
        <v xml:space="preserve"> A4</v>
      </c>
      <c r="D227" t="str">
        <f>'DASE DADOS - DISTANCIA'!E227</f>
        <v>TUPASSI</v>
      </c>
      <c r="E227" t="str">
        <f>'DASE DADOS - DISTANCIA'!I227</f>
        <v>PLUMA</v>
      </c>
      <c r="F227" s="7">
        <v>56.5</v>
      </c>
      <c r="G227">
        <f>'DASE DADOS - DISTANCIA'!J227</f>
        <v>113</v>
      </c>
      <c r="H227" s="2">
        <v>420</v>
      </c>
      <c r="I227" s="2" t="e">
        <f>IF(#REF!&lt;17200,DISTÂNCIA3[[#This Row],[KM PARA PAGAMENTO DOS FRETES]]*4.74,((#REF!/17200)*4.74)*DISTÂNCIA3[[#This Row],[KM PARA PAGAMENTO DOS FRETES]])</f>
        <v>#REF!</v>
      </c>
      <c r="J227" s="4">
        <f>DISTÂNCIA3[[#This Row],[Valor CTE]]/DISTÂNCIA3[[#This Row],[KM PARA PAGAMENTO DOS FRETES]]</f>
        <v>6.1155752212389372</v>
      </c>
      <c r="K227" s="6">
        <f t="shared" si="8"/>
        <v>453.1</v>
      </c>
      <c r="L227" s="6">
        <f>0.92*DISTÂNCIA3[[#This Row],[KM distancia]]*4.578</f>
        <v>237.96444000000002</v>
      </c>
      <c r="M227" s="6">
        <f t="shared" si="9"/>
        <v>691.06</v>
      </c>
    </row>
    <row r="228" spans="1:13" hidden="1" x14ac:dyDescent="0.35">
      <c r="A228">
        <f>'DASE DADOS - DISTANCIA'!A228</f>
        <v>1166549</v>
      </c>
      <c r="B228" t="str">
        <f>'DASE DADOS - DISTANCIA'!B228</f>
        <v>MAICON ANDRE PAGLIARINI</v>
      </c>
      <c r="C228" t="str">
        <f>'DASE DADOS - DISTANCIA'!C228</f>
        <v xml:space="preserve"> A1</v>
      </c>
      <c r="D228" t="str">
        <f>'DASE DADOS - DISTANCIA'!E228</f>
        <v>BELA VISTA DA CAROBA</v>
      </c>
      <c r="E228" t="str">
        <f>'DASE DADOS - DISTANCIA'!I228</f>
        <v>PLUSVAL</v>
      </c>
      <c r="F228" s="7">
        <v>139.5</v>
      </c>
      <c r="G228">
        <f>'DASE DADOS - DISTANCIA'!J228</f>
        <v>279</v>
      </c>
      <c r="H228" s="2">
        <v>420</v>
      </c>
      <c r="I228" s="2" t="e">
        <f>IF(#REF!&lt;17200,DISTÂNCIA3[[#This Row],[KM PARA PAGAMENTO DOS FRETES]]*4.74,((#REF!/17200)*4.74)*DISTÂNCIA3[[#This Row],[KM PARA PAGAMENTO DOS FRETES]])</f>
        <v>#REF!</v>
      </c>
      <c r="J228" s="4">
        <f>DISTÂNCIA3[[#This Row],[Valor CTE]]/DISTÂNCIA3[[#This Row],[KM PARA PAGAMENTO DOS FRETES]]</f>
        <v>5.0917921146953402</v>
      </c>
      <c r="K228" s="6">
        <f t="shared" si="8"/>
        <v>833.07</v>
      </c>
      <c r="L228" s="6">
        <f>0.92*DISTÂNCIA3[[#This Row],[KM distancia]]*4.578</f>
        <v>587.54052000000001</v>
      </c>
      <c r="M228" s="6">
        <f t="shared" si="9"/>
        <v>1420.61</v>
      </c>
    </row>
    <row r="229" spans="1:13" hidden="1" x14ac:dyDescent="0.35">
      <c r="A229">
        <f>'DASE DADOS - DISTANCIA'!A229</f>
        <v>0</v>
      </c>
      <c r="B229" t="str">
        <f>'DASE DADOS - DISTANCIA'!B229</f>
        <v>CLEUSA DE SOUZA RIBEIRO</v>
      </c>
      <c r="C229" t="str">
        <f>'DASE DADOS - DISTANCIA'!C229</f>
        <v xml:space="preserve"> A3</v>
      </c>
      <c r="D229" t="str">
        <f>'DASE DADOS - DISTANCIA'!E229</f>
        <v>TUPASSI</v>
      </c>
      <c r="E229" t="str">
        <f>'DASE DADOS - DISTANCIA'!I229</f>
        <v>PLUMA</v>
      </c>
      <c r="F229" s="7">
        <v>56.5</v>
      </c>
      <c r="G229">
        <f>'DASE DADOS - DISTANCIA'!J229</f>
        <v>113</v>
      </c>
      <c r="H229" s="2">
        <v>420</v>
      </c>
      <c r="I229" s="2" t="e">
        <f>IF(#REF!&lt;17200,DISTÂNCIA3[[#This Row],[KM PARA PAGAMENTO DOS FRETES]]*4.74,((#REF!/17200)*4.74)*DISTÂNCIA3[[#This Row],[KM PARA PAGAMENTO DOS FRETES]])</f>
        <v>#REF!</v>
      </c>
      <c r="J229" s="4">
        <f>DISTÂNCIA3[[#This Row],[Valor CTE]]/DISTÂNCIA3[[#This Row],[KM PARA PAGAMENTO DOS FRETES]]</f>
        <v>6.1155752212389372</v>
      </c>
      <c r="K229" s="6">
        <f t="shared" si="8"/>
        <v>453.1</v>
      </c>
      <c r="L229" s="6">
        <f>0.92*DISTÂNCIA3[[#This Row],[KM distancia]]*4.578</f>
        <v>237.96444000000002</v>
      </c>
      <c r="M229" s="6">
        <f t="shared" si="9"/>
        <v>691.06</v>
      </c>
    </row>
    <row r="230" spans="1:13" hidden="1" x14ac:dyDescent="0.35">
      <c r="A230">
        <f>'DASE DADOS - DISTANCIA'!A230</f>
        <v>1166514</v>
      </c>
      <c r="B230" t="str">
        <f>'DASE DADOS - DISTANCIA'!B230</f>
        <v>MATEUS HENRIQUE MINSKI</v>
      </c>
      <c r="C230" t="str">
        <f>'DASE DADOS - DISTANCIA'!C230</f>
        <v xml:space="preserve"> A1</v>
      </c>
      <c r="D230" t="str">
        <f>'DASE DADOS - DISTANCIA'!E230</f>
        <v>CAPANEMA</v>
      </c>
      <c r="E230" t="str">
        <f>'DASE DADOS - DISTANCIA'!I230</f>
        <v>PLUSVAL</v>
      </c>
      <c r="F230" s="7">
        <v>114.5</v>
      </c>
      <c r="G230">
        <f>'DASE DADOS - DISTANCIA'!J230</f>
        <v>229</v>
      </c>
      <c r="H230" s="2">
        <v>420</v>
      </c>
      <c r="I230" s="2" t="e">
        <f>IF(#REF!&lt;17200,DISTÂNCIA3[[#This Row],[KM PARA PAGAMENTO DOS FRETES]]*4.74,((#REF!/17200)*4.74)*DISTÂNCIA3[[#This Row],[KM PARA PAGAMENTO DOS FRETES]])</f>
        <v>#REF!</v>
      </c>
      <c r="J230" s="4">
        <f>DISTÂNCIA3[[#This Row],[Valor CTE]]/DISTÂNCIA3[[#This Row],[KM PARA PAGAMENTO DOS FRETES]]</f>
        <v>5.2439737991266373</v>
      </c>
      <c r="K230" s="6">
        <f t="shared" si="8"/>
        <v>718.62</v>
      </c>
      <c r="L230" s="6">
        <f>0.92*DISTÂNCIA3[[#This Row],[KM distancia]]*4.578</f>
        <v>482.24652000000003</v>
      </c>
      <c r="M230" s="6">
        <f t="shared" si="9"/>
        <v>1200.8699999999999</v>
      </c>
    </row>
    <row r="231" spans="1:13" hidden="1" x14ac:dyDescent="0.35">
      <c r="A231">
        <f>'DASE DADOS - DISTANCIA'!A231</f>
        <v>30034</v>
      </c>
      <c r="B231" t="str">
        <f>'DASE DADOS - DISTANCIA'!B231</f>
        <v>MIGUEL LUIZ WAGNER</v>
      </c>
      <c r="C231" t="str">
        <f>'DASE DADOS - DISTANCIA'!C231</f>
        <v xml:space="preserve"> A1</v>
      </c>
      <c r="D231" t="str">
        <f>'DASE DADOS - DISTANCIA'!E231</f>
        <v>PLANALTO</v>
      </c>
      <c r="E231" t="str">
        <f>'DASE DADOS - DISTANCIA'!I231</f>
        <v>PLUSVAL</v>
      </c>
      <c r="F231" s="7">
        <v>125.5</v>
      </c>
      <c r="G231">
        <f>'DASE DADOS - DISTANCIA'!J231</f>
        <v>251</v>
      </c>
      <c r="H231" s="2">
        <v>420</v>
      </c>
      <c r="I231" s="2" t="e">
        <f>IF(#REF!&lt;17200,DISTÂNCIA3[[#This Row],[KM PARA PAGAMENTO DOS FRETES]]*4.74,((#REF!/17200)*4.74)*DISTÂNCIA3[[#This Row],[KM PARA PAGAMENTO DOS FRETES]])</f>
        <v>#REF!</v>
      </c>
      <c r="J231" s="4">
        <f>DISTÂNCIA3[[#This Row],[Valor CTE]]/DISTÂNCIA3[[#This Row],[KM PARA PAGAMENTO DOS FRETES]]</f>
        <v>5.1695219123505973</v>
      </c>
      <c r="K231" s="6">
        <f t="shared" si="8"/>
        <v>768.98</v>
      </c>
      <c r="L231" s="6">
        <f>0.92*DISTÂNCIA3[[#This Row],[KM distancia]]*4.578</f>
        <v>528.5758800000001</v>
      </c>
      <c r="M231" s="6">
        <f t="shared" si="9"/>
        <v>1297.55</v>
      </c>
    </row>
    <row r="232" spans="1:13" hidden="1" x14ac:dyDescent="0.35">
      <c r="A232">
        <f>'DASE DADOS - DISTANCIA'!A232</f>
        <v>29953</v>
      </c>
      <c r="B232" t="str">
        <f>'DASE DADOS - DISTANCIA'!B232</f>
        <v>EDER THEODORO</v>
      </c>
      <c r="C232" t="str">
        <f>'DASE DADOS - DISTANCIA'!C232</f>
        <v xml:space="preserve"> A1</v>
      </c>
      <c r="D232" t="str">
        <f>'DASE DADOS - DISTANCIA'!E232</f>
        <v>PLANALTO</v>
      </c>
      <c r="E232" t="str">
        <f>'DASE DADOS - DISTANCIA'!I232</f>
        <v>PLUSVAL</v>
      </c>
      <c r="F232" s="7">
        <v>121</v>
      </c>
      <c r="G232">
        <f>'DASE DADOS - DISTANCIA'!J232</f>
        <v>242</v>
      </c>
      <c r="H232" s="2">
        <v>420</v>
      </c>
      <c r="I232" s="2" t="e">
        <f>IF(#REF!&lt;17200,DISTÂNCIA3[[#This Row],[KM PARA PAGAMENTO DOS FRETES]]*4.74,((#REF!/17200)*4.74)*DISTÂNCIA3[[#This Row],[KM PARA PAGAMENTO DOS FRETES]])</f>
        <v>#REF!</v>
      </c>
      <c r="J232" s="4">
        <f>DISTÂNCIA3[[#This Row],[Valor CTE]]/DISTÂNCIA3[[#This Row],[KM PARA PAGAMENTO DOS FRETES]]</f>
        <v>5.1983471074380168</v>
      </c>
      <c r="K232" s="6">
        <f t="shared" si="8"/>
        <v>748.38</v>
      </c>
      <c r="L232" s="6">
        <f>0.92*DISTÂNCIA3[[#This Row],[KM distancia]]*4.578</f>
        <v>509.62296000000009</v>
      </c>
      <c r="M232" s="6">
        <f t="shared" si="9"/>
        <v>1258</v>
      </c>
    </row>
    <row r="233" spans="1:13" x14ac:dyDescent="0.35">
      <c r="A233">
        <f>'DASE DADOS - DISTANCIA'!A233</f>
        <v>29909</v>
      </c>
      <c r="B233" t="str">
        <f>'DASE DADOS - DISTANCIA'!B233</f>
        <v>MOACIR JOSE MORASKI</v>
      </c>
      <c r="C233" t="str">
        <f>'DASE DADOS - DISTANCIA'!C233</f>
        <v xml:space="preserve"> A4</v>
      </c>
      <c r="D233" t="str">
        <f>'DASE DADOS - DISTANCIA'!E233</f>
        <v>CAPITÃO LEÔNIDAS MARQUES</v>
      </c>
      <c r="E233" t="str">
        <f>'DASE DADOS - DISTANCIA'!I233</f>
        <v>PLUSVAL</v>
      </c>
      <c r="F233" s="7">
        <v>70</v>
      </c>
      <c r="G233">
        <f>'DASE DADOS - DISTANCIA'!J233</f>
        <v>140</v>
      </c>
      <c r="H233" s="2">
        <v>420</v>
      </c>
      <c r="I233" s="2" t="e">
        <f>IF(#REF!&lt;17200,DISTÂNCIA3[[#This Row],[KM PARA PAGAMENTO DOS FRETES]]*4.74,((#REF!/17200)*4.74)*DISTÂNCIA3[[#This Row],[KM PARA PAGAMENTO DOS FRETES]])</f>
        <v>#REF!</v>
      </c>
      <c r="J233" s="4">
        <f>DISTÂNCIA3[[#This Row],[Valor CTE]]/DISTÂNCIA3[[#This Row],[KM PARA PAGAMENTO DOS FRETES]]</f>
        <v>5.7837142857142858</v>
      </c>
      <c r="K233" s="6">
        <f t="shared" si="8"/>
        <v>514.9</v>
      </c>
      <c r="L233" s="6">
        <f>0.92*DISTÂNCIA3[[#This Row],[KM distancia]]*4.578</f>
        <v>294.82320000000004</v>
      </c>
      <c r="M233" s="6">
        <f t="shared" si="9"/>
        <v>809.72</v>
      </c>
    </row>
    <row r="234" spans="1:13" hidden="1" x14ac:dyDescent="0.35">
      <c r="A234">
        <f>'DASE DADOS - DISTANCIA'!A234</f>
        <v>0</v>
      </c>
      <c r="B234" t="str">
        <f>'DASE DADOS - DISTANCIA'!B234</f>
        <v>DELCI SCHNEIDER</v>
      </c>
      <c r="C234" t="str">
        <f>'DASE DADOS - DISTANCIA'!C234</f>
        <v xml:space="preserve"> A1</v>
      </c>
      <c r="D234" t="str">
        <f>'DASE DADOS - DISTANCIA'!E234</f>
        <v>CAPANEMA</v>
      </c>
      <c r="E234" t="str">
        <f>'DASE DADOS - DISTANCIA'!I234</f>
        <v>PLUSVAL</v>
      </c>
      <c r="F234" s="7">
        <v>131.5</v>
      </c>
      <c r="G234">
        <f>'DASE DADOS - DISTANCIA'!J234</f>
        <v>263</v>
      </c>
      <c r="H234" s="2">
        <v>420</v>
      </c>
      <c r="I234" s="2" t="e">
        <f>IF(#REF!&lt;17200,DISTÂNCIA3[[#This Row],[KM PARA PAGAMENTO DOS FRETES]]*4.74,((#REF!/17200)*4.74)*DISTÂNCIA3[[#This Row],[KM PARA PAGAMENTO DOS FRETES]])</f>
        <v>#REF!</v>
      </c>
      <c r="J234" s="4">
        <f>DISTÂNCIA3[[#This Row],[Valor CTE]]/DISTÂNCIA3[[#This Row],[KM PARA PAGAMENTO DOS FRETES]]</f>
        <v>5.1341825095057034</v>
      </c>
      <c r="K234" s="6">
        <f t="shared" si="8"/>
        <v>796.45</v>
      </c>
      <c r="L234" s="6">
        <f>0.92*DISTÂNCIA3[[#This Row],[KM distancia]]*4.578</f>
        <v>553.84644000000003</v>
      </c>
      <c r="M234" s="6">
        <f t="shared" si="9"/>
        <v>1350.29</v>
      </c>
    </row>
    <row r="235" spans="1:13" hidden="1" x14ac:dyDescent="0.35">
      <c r="A235">
        <f>'DASE DADOS - DISTANCIA'!A235</f>
        <v>30054</v>
      </c>
      <c r="B235" t="str">
        <f>'DASE DADOS - DISTANCIA'!B235</f>
        <v>NERI LUIZ PHILIPPSEN</v>
      </c>
      <c r="C235" t="str">
        <f>'DASE DADOS - DISTANCIA'!C235</f>
        <v xml:space="preserve"> A3</v>
      </c>
      <c r="D235" t="str">
        <f>'DASE DADOS - DISTANCIA'!E235</f>
        <v>CAPANEMA</v>
      </c>
      <c r="E235" t="str">
        <f>'DASE DADOS - DISTANCIA'!I235</f>
        <v>PLUSVAL</v>
      </c>
      <c r="F235" s="7">
        <v>107.5</v>
      </c>
      <c r="G235">
        <f>'DASE DADOS - DISTANCIA'!J235</f>
        <v>215</v>
      </c>
      <c r="H235" s="2">
        <v>420</v>
      </c>
      <c r="I235" s="2" t="e">
        <f>IF(#REF!&lt;17200,DISTÂNCIA3[[#This Row],[KM PARA PAGAMENTO DOS FRETES]]*4.74,((#REF!/17200)*4.74)*DISTÂNCIA3[[#This Row],[KM PARA PAGAMENTO DOS FRETES]])</f>
        <v>#REF!</v>
      </c>
      <c r="J235" s="4">
        <f>DISTÂNCIA3[[#This Row],[Valor CTE]]/DISTÂNCIA3[[#This Row],[KM PARA PAGAMENTO DOS FRETES]]</f>
        <v>5.2992558139534882</v>
      </c>
      <c r="K235" s="6">
        <f t="shared" si="8"/>
        <v>686.58</v>
      </c>
      <c r="L235" s="6">
        <f>0.92*DISTÂNCIA3[[#This Row],[KM distancia]]*4.578</f>
        <v>452.76420000000007</v>
      </c>
      <c r="M235" s="6">
        <f t="shared" si="9"/>
        <v>1139.3399999999999</v>
      </c>
    </row>
    <row r="236" spans="1:13" hidden="1" x14ac:dyDescent="0.35">
      <c r="A236">
        <f>'DASE DADOS - DISTANCIA'!A236</f>
        <v>30054</v>
      </c>
      <c r="B236" t="str">
        <f>'DASE DADOS - DISTANCIA'!B236</f>
        <v>NERI LUIZ PHILIPPSEN</v>
      </c>
      <c r="C236" t="str">
        <f>'DASE DADOS - DISTANCIA'!C236</f>
        <v xml:space="preserve"> A2</v>
      </c>
      <c r="D236" t="str">
        <f>'DASE DADOS - DISTANCIA'!E236</f>
        <v>CAPANEMA</v>
      </c>
      <c r="E236" t="str">
        <f>'DASE DADOS - DISTANCIA'!I236</f>
        <v>PLUSVAL</v>
      </c>
      <c r="F236" s="7">
        <v>107.5</v>
      </c>
      <c r="G236">
        <f>'DASE DADOS - DISTANCIA'!J236</f>
        <v>215</v>
      </c>
      <c r="H236" s="2">
        <v>420</v>
      </c>
      <c r="I236" s="2" t="e">
        <f>IF(#REF!&lt;17200,DISTÂNCIA3[[#This Row],[KM PARA PAGAMENTO DOS FRETES]]*4.74,((#REF!/17200)*4.74)*DISTÂNCIA3[[#This Row],[KM PARA PAGAMENTO DOS FRETES]])</f>
        <v>#REF!</v>
      </c>
      <c r="J236" s="4">
        <f>DISTÂNCIA3[[#This Row],[Valor CTE]]/DISTÂNCIA3[[#This Row],[KM PARA PAGAMENTO DOS FRETES]]</f>
        <v>5.2992558139534882</v>
      </c>
      <c r="K236" s="6">
        <f t="shared" si="8"/>
        <v>686.58</v>
      </c>
      <c r="L236" s="6">
        <f>0.92*DISTÂNCIA3[[#This Row],[KM distancia]]*4.578</f>
        <v>452.76420000000007</v>
      </c>
      <c r="M236" s="6">
        <f t="shared" si="9"/>
        <v>1139.3399999999999</v>
      </c>
    </row>
    <row r="237" spans="1:13" hidden="1" x14ac:dyDescent="0.35">
      <c r="A237">
        <f>'DASE DADOS - DISTANCIA'!A237</f>
        <v>30054</v>
      </c>
      <c r="B237" t="str">
        <f>'DASE DADOS - DISTANCIA'!B237</f>
        <v>NERI LUIZ PHILIPPSEN</v>
      </c>
      <c r="C237" t="str">
        <f>'DASE DADOS - DISTANCIA'!C237</f>
        <v xml:space="preserve"> A1</v>
      </c>
      <c r="D237" t="str">
        <f>'DASE DADOS - DISTANCIA'!E237</f>
        <v>CAPANEMA</v>
      </c>
      <c r="E237" t="str">
        <f>'DASE DADOS - DISTANCIA'!I237</f>
        <v>PLUSVAL</v>
      </c>
      <c r="F237" s="7">
        <v>107.5</v>
      </c>
      <c r="G237">
        <f>'DASE DADOS - DISTANCIA'!J237</f>
        <v>215</v>
      </c>
      <c r="H237" s="2">
        <v>420</v>
      </c>
      <c r="I237" s="2" t="e">
        <f>IF(#REF!&lt;17200,DISTÂNCIA3[[#This Row],[KM PARA PAGAMENTO DOS FRETES]]*4.74,((#REF!/17200)*4.74)*DISTÂNCIA3[[#This Row],[KM PARA PAGAMENTO DOS FRETES]])</f>
        <v>#REF!</v>
      </c>
      <c r="J237" s="4">
        <f>DISTÂNCIA3[[#This Row],[Valor CTE]]/DISTÂNCIA3[[#This Row],[KM PARA PAGAMENTO DOS FRETES]]</f>
        <v>5.2992558139534882</v>
      </c>
      <c r="K237" s="6">
        <f t="shared" si="8"/>
        <v>686.58</v>
      </c>
      <c r="L237" s="6">
        <f>0.92*DISTÂNCIA3[[#This Row],[KM distancia]]*4.578</f>
        <v>452.76420000000007</v>
      </c>
      <c r="M237" s="6">
        <f t="shared" si="9"/>
        <v>1139.3399999999999</v>
      </c>
    </row>
    <row r="238" spans="1:13" hidden="1" x14ac:dyDescent="0.35">
      <c r="A238">
        <f>'DASE DADOS - DISTANCIA'!A238</f>
        <v>30052</v>
      </c>
      <c r="B238" t="str">
        <f>'DASE DADOS - DISTANCIA'!B238</f>
        <v>EDIO ANTONIO BARBOSA</v>
      </c>
      <c r="C238" t="str">
        <f>'DASE DADOS - DISTANCIA'!C238</f>
        <v xml:space="preserve"> A2</v>
      </c>
      <c r="D238" t="str">
        <f>'DASE DADOS - DISTANCIA'!E238</f>
        <v>PLANALTO</v>
      </c>
      <c r="E238" t="str">
        <f>'DASE DADOS - DISTANCIA'!I238</f>
        <v>PLUSVAL</v>
      </c>
      <c r="F238" s="7">
        <v>108.5</v>
      </c>
      <c r="G238">
        <f>'DASE DADOS - DISTANCIA'!J238</f>
        <v>217</v>
      </c>
      <c r="H238" s="2">
        <v>420</v>
      </c>
      <c r="I238" s="2" t="e">
        <f>IF(#REF!&lt;17200,DISTÂNCIA3[[#This Row],[KM PARA PAGAMENTO DOS FRETES]]*4.74,((#REF!/17200)*4.74)*DISTÂNCIA3[[#This Row],[KM PARA PAGAMENTO DOS FRETES]])</f>
        <v>#REF!</v>
      </c>
      <c r="J238" s="4">
        <f>DISTÂNCIA3[[#This Row],[Valor CTE]]/DISTÂNCIA3[[#This Row],[KM PARA PAGAMENTO DOS FRETES]]</f>
        <v>5.2909216589861758</v>
      </c>
      <c r="K238" s="6">
        <f t="shared" si="8"/>
        <v>691.15</v>
      </c>
      <c r="L238" s="6">
        <f>0.92*DISTÂNCIA3[[#This Row],[KM distancia]]*4.578</f>
        <v>456.97596000000004</v>
      </c>
      <c r="M238" s="6">
        <f t="shared" si="9"/>
        <v>1148.1300000000001</v>
      </c>
    </row>
    <row r="239" spans="1:13" hidden="1" x14ac:dyDescent="0.35">
      <c r="A239">
        <f>'DASE DADOS - DISTANCIA'!A239</f>
        <v>1139592</v>
      </c>
      <c r="B239" t="str">
        <f>'DASE DADOS - DISTANCIA'!B239</f>
        <v>SIDEMAR TAUFEMBACH</v>
      </c>
      <c r="C239" t="str">
        <f>'DASE DADOS - DISTANCIA'!C239</f>
        <v xml:space="preserve"> A3</v>
      </c>
      <c r="D239" t="str">
        <f>'DASE DADOS - DISTANCIA'!E239</f>
        <v>TRÊS BARRAS DO PARANÁ</v>
      </c>
      <c r="E239" t="str">
        <f>'DASE DADOS - DISTANCIA'!I239</f>
        <v>PLUSVAL</v>
      </c>
      <c r="F239" s="7">
        <v>75.5</v>
      </c>
      <c r="G239">
        <f>'DASE DADOS - DISTANCIA'!J239</f>
        <v>151</v>
      </c>
      <c r="H239" s="2">
        <v>420</v>
      </c>
      <c r="I239" s="2" t="e">
        <f>IF(#REF!&lt;17200,DISTÂNCIA3[[#This Row],[KM PARA PAGAMENTO DOS FRETES]]*4.74,((#REF!/17200)*4.74)*DISTÂNCIA3[[#This Row],[KM PARA PAGAMENTO DOS FRETES]])</f>
        <v>#REF!</v>
      </c>
      <c r="J239" s="4">
        <f>DISTÂNCIA3[[#This Row],[Valor CTE]]/DISTÂNCIA3[[#This Row],[KM PARA PAGAMENTO DOS FRETES]]</f>
        <v>5.6825827814569543</v>
      </c>
      <c r="K239" s="6">
        <f t="shared" si="8"/>
        <v>540.08000000000004</v>
      </c>
      <c r="L239" s="6">
        <f>0.92*DISTÂNCIA3[[#This Row],[KM distancia]]*4.578</f>
        <v>317.98788000000008</v>
      </c>
      <c r="M239" s="6">
        <f t="shared" si="9"/>
        <v>858.07</v>
      </c>
    </row>
    <row r="240" spans="1:13" hidden="1" x14ac:dyDescent="0.35">
      <c r="A240">
        <f>'DASE DADOS - DISTANCIA'!A240</f>
        <v>30052</v>
      </c>
      <c r="B240" t="str">
        <f>'DASE DADOS - DISTANCIA'!B240</f>
        <v>EDIO ANTONIO BARBOSA</v>
      </c>
      <c r="C240" t="str">
        <f>'DASE DADOS - DISTANCIA'!C240</f>
        <v xml:space="preserve"> A1</v>
      </c>
      <c r="D240" t="str">
        <f>'DASE DADOS - DISTANCIA'!E240</f>
        <v>PLANALTO</v>
      </c>
      <c r="E240" t="str">
        <f>'DASE DADOS - DISTANCIA'!I240</f>
        <v>PLUSVAL</v>
      </c>
      <c r="F240" s="7">
        <v>108.5</v>
      </c>
      <c r="G240">
        <f>'DASE DADOS - DISTANCIA'!J240</f>
        <v>217</v>
      </c>
      <c r="H240" s="2">
        <v>420</v>
      </c>
      <c r="I240" s="2" t="e">
        <f>IF(#REF!&lt;17200,DISTÂNCIA3[[#This Row],[KM PARA PAGAMENTO DOS FRETES]]*4.74,((#REF!/17200)*4.74)*DISTÂNCIA3[[#This Row],[KM PARA PAGAMENTO DOS FRETES]])</f>
        <v>#REF!</v>
      </c>
      <c r="J240" s="4">
        <f>DISTÂNCIA3[[#This Row],[Valor CTE]]/DISTÂNCIA3[[#This Row],[KM PARA PAGAMENTO DOS FRETES]]</f>
        <v>5.2909216589861758</v>
      </c>
      <c r="K240" s="6">
        <f t="shared" si="8"/>
        <v>691.15</v>
      </c>
      <c r="L240" s="6">
        <f>0.92*DISTÂNCIA3[[#This Row],[KM distancia]]*4.578</f>
        <v>456.97596000000004</v>
      </c>
      <c r="M240" s="6">
        <f t="shared" si="9"/>
        <v>1148.1300000000001</v>
      </c>
    </row>
    <row r="241" spans="1:13" hidden="1" x14ac:dyDescent="0.35">
      <c r="A241">
        <f>'DASE DADOS - DISTANCIA'!A241</f>
        <v>1139592</v>
      </c>
      <c r="B241" t="str">
        <f>'DASE DADOS - DISTANCIA'!B241</f>
        <v>SIDEMAR TAUFEMBACH</v>
      </c>
      <c r="C241" t="str">
        <f>'DASE DADOS - DISTANCIA'!C241</f>
        <v xml:space="preserve"> A2</v>
      </c>
      <c r="D241" t="str">
        <f>'DASE DADOS - DISTANCIA'!E241</f>
        <v>TRÊS BARRAS DO PARANÁ</v>
      </c>
      <c r="E241" t="str">
        <f>'DASE DADOS - DISTANCIA'!I241</f>
        <v>PLUSVAL</v>
      </c>
      <c r="F241" s="7">
        <v>75.5</v>
      </c>
      <c r="G241">
        <f>'DASE DADOS - DISTANCIA'!J241</f>
        <v>151</v>
      </c>
      <c r="H241" s="2">
        <v>420</v>
      </c>
      <c r="I241" s="2" t="e">
        <f>IF(#REF!&lt;17200,DISTÂNCIA3[[#This Row],[KM PARA PAGAMENTO DOS FRETES]]*4.74,((#REF!/17200)*4.74)*DISTÂNCIA3[[#This Row],[KM PARA PAGAMENTO DOS FRETES]])</f>
        <v>#REF!</v>
      </c>
      <c r="J241" s="4">
        <f>DISTÂNCIA3[[#This Row],[Valor CTE]]/DISTÂNCIA3[[#This Row],[KM PARA PAGAMENTO DOS FRETES]]</f>
        <v>5.6825827814569543</v>
      </c>
      <c r="K241" s="6">
        <f t="shared" si="8"/>
        <v>540.08000000000004</v>
      </c>
      <c r="L241" s="6">
        <f>0.92*DISTÂNCIA3[[#This Row],[KM distancia]]*4.578</f>
        <v>317.98788000000008</v>
      </c>
      <c r="M241" s="6">
        <f t="shared" si="9"/>
        <v>858.07</v>
      </c>
    </row>
    <row r="242" spans="1:13" hidden="1" x14ac:dyDescent="0.35">
      <c r="A242">
        <f>'DASE DADOS - DISTANCIA'!A242</f>
        <v>0</v>
      </c>
      <c r="B242" t="str">
        <f>'DASE DADOS - DISTANCIA'!B242</f>
        <v>DERCIO ANTONIO BACH</v>
      </c>
      <c r="C242" t="str">
        <f>'DASE DADOS - DISTANCIA'!C242</f>
        <v xml:space="preserve"> A1</v>
      </c>
      <c r="D242" t="str">
        <f>'DASE DADOS - DISTANCIA'!E242</f>
        <v>TOLEDO</v>
      </c>
      <c r="E242" t="str">
        <f>'DASE DADOS - DISTANCIA'!I242</f>
        <v>PLUMA</v>
      </c>
      <c r="F242" s="7">
        <v>55</v>
      </c>
      <c r="G242">
        <f>'DASE DADOS - DISTANCIA'!J242</f>
        <v>110</v>
      </c>
      <c r="H242" s="2">
        <v>420</v>
      </c>
      <c r="I242" s="2" t="e">
        <f>IF(#REF!&lt;17200,DISTÂNCIA3[[#This Row],[KM PARA PAGAMENTO DOS FRETES]]*4.74,((#REF!/17200)*4.74)*DISTÂNCIA3[[#This Row],[KM PARA PAGAMENTO DOS FRETES]])</f>
        <v>#REF!</v>
      </c>
      <c r="J242" s="4">
        <f>DISTÂNCIA3[[#This Row],[Valor CTE]]/DISTÂNCIA3[[#This Row],[KM PARA PAGAMENTO DOS FRETES]]</f>
        <v>6.1625454545454543</v>
      </c>
      <c r="K242" s="6">
        <f t="shared" si="8"/>
        <v>446.23</v>
      </c>
      <c r="L242" s="6">
        <f>0.92*DISTÂNCIA3[[#This Row],[KM distancia]]*4.578</f>
        <v>231.64680000000001</v>
      </c>
      <c r="M242" s="6">
        <f t="shared" si="9"/>
        <v>677.88</v>
      </c>
    </row>
    <row r="243" spans="1:13" hidden="1" x14ac:dyDescent="0.35">
      <c r="A243">
        <f>'DASE DADOS - DISTANCIA'!A243</f>
        <v>1139592</v>
      </c>
      <c r="B243" t="str">
        <f>'DASE DADOS - DISTANCIA'!B243</f>
        <v>SIDEMAR TAUFEMBACH</v>
      </c>
      <c r="C243" t="str">
        <f>'DASE DADOS - DISTANCIA'!C243</f>
        <v xml:space="preserve"> A1</v>
      </c>
      <c r="D243" t="str">
        <f>'DASE DADOS - DISTANCIA'!E243</f>
        <v>TRÊS BARRAS DO PARANÁ</v>
      </c>
      <c r="E243" t="str">
        <f>'DASE DADOS - DISTANCIA'!I243</f>
        <v>PLUSVAL</v>
      </c>
      <c r="F243" s="7">
        <v>75.5</v>
      </c>
      <c r="G243">
        <f>'DASE DADOS - DISTANCIA'!J243</f>
        <v>151</v>
      </c>
      <c r="H243" s="2">
        <v>420</v>
      </c>
      <c r="I243" s="2" t="e">
        <f>IF(#REF!&lt;17200,DISTÂNCIA3[[#This Row],[KM PARA PAGAMENTO DOS FRETES]]*4.74,((#REF!/17200)*4.74)*DISTÂNCIA3[[#This Row],[KM PARA PAGAMENTO DOS FRETES]])</f>
        <v>#REF!</v>
      </c>
      <c r="J243" s="4">
        <f>DISTÂNCIA3[[#This Row],[Valor CTE]]/DISTÂNCIA3[[#This Row],[KM PARA PAGAMENTO DOS FRETES]]</f>
        <v>5.6825827814569543</v>
      </c>
      <c r="K243" s="6">
        <f t="shared" si="8"/>
        <v>540.08000000000004</v>
      </c>
      <c r="L243" s="6">
        <f>0.92*DISTÂNCIA3[[#This Row],[KM distancia]]*4.578</f>
        <v>317.98788000000008</v>
      </c>
      <c r="M243" s="6">
        <f t="shared" si="9"/>
        <v>858.07</v>
      </c>
    </row>
    <row r="244" spans="1:13" hidden="1" x14ac:dyDescent="0.35">
      <c r="A244">
        <f>'DASE DADOS - DISTANCIA'!A244</f>
        <v>30055</v>
      </c>
      <c r="B244" t="str">
        <f>'DASE DADOS - DISTANCIA'!B244</f>
        <v>EDITE MARIA VETTORELLO</v>
      </c>
      <c r="C244" t="str">
        <f>'DASE DADOS - DISTANCIA'!C244</f>
        <v xml:space="preserve"> A1</v>
      </c>
      <c r="D244" t="str">
        <f>'DASE DADOS - DISTANCIA'!E244</f>
        <v>CAPANEMA</v>
      </c>
      <c r="E244" t="str">
        <f>'DASE DADOS - DISTANCIA'!I244</f>
        <v>PLUSVAL</v>
      </c>
      <c r="F244" s="7">
        <v>118</v>
      </c>
      <c r="G244">
        <f>'DASE DADOS - DISTANCIA'!J244</f>
        <v>236</v>
      </c>
      <c r="H244" s="2">
        <v>420</v>
      </c>
      <c r="I244" s="2" t="e">
        <f>IF(#REF!&lt;17200,DISTÂNCIA3[[#This Row],[KM PARA PAGAMENTO DOS FRETES]]*4.74,((#REF!/17200)*4.74)*DISTÂNCIA3[[#This Row],[KM PARA PAGAMENTO DOS FRETES]])</f>
        <v>#REF!</v>
      </c>
      <c r="J244" s="4">
        <f>DISTÂNCIA3[[#This Row],[Valor CTE]]/DISTÂNCIA3[[#This Row],[KM PARA PAGAMENTO DOS FRETES]]</f>
        <v>5.2187711864406783</v>
      </c>
      <c r="K244" s="6">
        <f t="shared" si="8"/>
        <v>734.64</v>
      </c>
      <c r="L244" s="6">
        <f>0.92*DISTÂNCIA3[[#This Row],[KM distancia]]*4.578</f>
        <v>496.98768000000007</v>
      </c>
      <c r="M244" s="6">
        <f t="shared" si="9"/>
        <v>1231.6300000000001</v>
      </c>
    </row>
    <row r="245" spans="1:13" hidden="1" x14ac:dyDescent="0.35">
      <c r="A245">
        <f>'DASE DADOS - DISTANCIA'!A245</f>
        <v>29899</v>
      </c>
      <c r="B245" t="str">
        <f>'DASE DADOS - DISTANCIA'!B245</f>
        <v>VALMIR ROSIN</v>
      </c>
      <c r="C245" t="str">
        <f>'DASE DADOS - DISTANCIA'!C245</f>
        <v xml:space="preserve"> A1</v>
      </c>
      <c r="D245" t="str">
        <f>'DASE DADOS - DISTANCIA'!E245</f>
        <v>REALEZA</v>
      </c>
      <c r="E245" t="str">
        <f>'DASE DADOS - DISTANCIA'!I245</f>
        <v>PLUSVAL</v>
      </c>
      <c r="F245" s="7">
        <v>105</v>
      </c>
      <c r="G245">
        <f>'DASE DADOS - DISTANCIA'!J245</f>
        <v>210</v>
      </c>
      <c r="H245" s="2">
        <v>420</v>
      </c>
      <c r="I245" s="2" t="e">
        <f>IF(#REF!&lt;17200,DISTÂNCIA3[[#This Row],[KM PARA PAGAMENTO DOS FRETES]]*4.74,((#REF!/17200)*4.74)*DISTÂNCIA3[[#This Row],[KM PARA PAGAMENTO DOS FRETES]])</f>
        <v>#REF!</v>
      </c>
      <c r="J245" s="4">
        <f>DISTÂNCIA3[[#This Row],[Valor CTE]]/DISTÂNCIA3[[#This Row],[KM PARA PAGAMENTO DOS FRETES]]</f>
        <v>5.3207619047619046</v>
      </c>
      <c r="K245" s="6">
        <f t="shared" si="8"/>
        <v>675.13</v>
      </c>
      <c r="L245" s="6">
        <f>0.92*DISTÂNCIA3[[#This Row],[KM distancia]]*4.578</f>
        <v>442.23480000000006</v>
      </c>
      <c r="M245" s="6">
        <f t="shared" si="9"/>
        <v>1117.3599999999999</v>
      </c>
    </row>
    <row r="246" spans="1:13" hidden="1" x14ac:dyDescent="0.35">
      <c r="A246">
        <f>'DASE DADOS - DISTANCIA'!A246</f>
        <v>0</v>
      </c>
      <c r="B246" t="str">
        <f>'DASE DADOS - DISTANCIA'!B246</f>
        <v>DERLY JOAO PORTO</v>
      </c>
      <c r="C246" t="str">
        <f>'DASE DADOS - DISTANCIA'!C246</f>
        <v xml:space="preserve"> A2</v>
      </c>
      <c r="D246" t="str">
        <f>'DASE DADOS - DISTANCIA'!E246</f>
        <v>MERCEDES</v>
      </c>
      <c r="E246" t="str">
        <f>'DASE DADOS - DISTANCIA'!I246</f>
        <v>PLUMA</v>
      </c>
      <c r="F246" s="7">
        <v>115</v>
      </c>
      <c r="G246">
        <f>'DASE DADOS - DISTANCIA'!J246</f>
        <v>230</v>
      </c>
      <c r="H246" s="2">
        <v>420</v>
      </c>
      <c r="I246" s="2" t="e">
        <f>IF(#REF!&lt;17200,DISTÂNCIA3[[#This Row],[KM PARA PAGAMENTO DOS FRETES]]*4.74,((#REF!/17200)*4.74)*DISTÂNCIA3[[#This Row],[KM PARA PAGAMENTO DOS FRETES]])</f>
        <v>#REF!</v>
      </c>
      <c r="J246" s="4">
        <f>DISTÂNCIA3[[#This Row],[Valor CTE]]/DISTÂNCIA3[[#This Row],[KM PARA PAGAMENTO DOS FRETES]]</f>
        <v>5.2402608695652173</v>
      </c>
      <c r="K246" s="6">
        <f t="shared" si="8"/>
        <v>720.91</v>
      </c>
      <c r="L246" s="6">
        <f>0.92*DISTÂNCIA3[[#This Row],[KM distancia]]*4.578</f>
        <v>484.3524000000001</v>
      </c>
      <c r="M246" s="6">
        <f t="shared" si="9"/>
        <v>1205.26</v>
      </c>
    </row>
    <row r="247" spans="1:13" hidden="1" x14ac:dyDescent="0.35">
      <c r="A247">
        <f>'DASE DADOS - DISTANCIA'!A247</f>
        <v>29435</v>
      </c>
      <c r="B247" t="str">
        <f>'DASE DADOS - DISTANCIA'!B247</f>
        <v>VANILDE MARIANO DE BORBA FAVA</v>
      </c>
      <c r="C247" t="str">
        <f>'DASE DADOS - DISTANCIA'!C247</f>
        <v>A1</v>
      </c>
      <c r="D247" t="str">
        <f>'DASE DADOS - DISTANCIA'!E247</f>
        <v>REALEZA</v>
      </c>
      <c r="E247" t="str">
        <f>'DASE DADOS - DISTANCIA'!I247</f>
        <v>PLUSVAL</v>
      </c>
      <c r="F247" s="7">
        <v>95</v>
      </c>
      <c r="G247">
        <f>'DASE DADOS - DISTANCIA'!J247</f>
        <v>190</v>
      </c>
      <c r="H247" s="2">
        <v>420</v>
      </c>
      <c r="I247" s="2" t="e">
        <f>IF(#REF!&lt;17200,DISTÂNCIA3[[#This Row],[KM PARA PAGAMENTO DOS FRETES]]*4.74,((#REF!/17200)*4.74)*DISTÂNCIA3[[#This Row],[KM PARA PAGAMENTO DOS FRETES]])</f>
        <v>#REF!</v>
      </c>
      <c r="J247" s="4">
        <f>DISTÂNCIA3[[#This Row],[Valor CTE]]/DISTÂNCIA3[[#This Row],[KM PARA PAGAMENTO DOS FRETES]]</f>
        <v>5.4182631578947369</v>
      </c>
      <c r="K247" s="6">
        <f t="shared" si="8"/>
        <v>629.35</v>
      </c>
      <c r="L247" s="6">
        <f>0.92*DISTÂNCIA3[[#This Row],[KM distancia]]*4.578</f>
        <v>400.11720000000003</v>
      </c>
      <c r="M247" s="6">
        <f t="shared" si="9"/>
        <v>1029.47</v>
      </c>
    </row>
    <row r="248" spans="1:13" hidden="1" x14ac:dyDescent="0.35">
      <c r="A248">
        <f>'DASE DADOS - DISTANCIA'!A248</f>
        <v>0</v>
      </c>
      <c r="B248" t="str">
        <f>'DASE DADOS - DISTANCIA'!B248</f>
        <v>DERLY JOAO PORTO</v>
      </c>
      <c r="C248" t="str">
        <f>'DASE DADOS - DISTANCIA'!C248</f>
        <v xml:space="preserve"> A1</v>
      </c>
      <c r="D248" t="str">
        <f>'DASE DADOS - DISTANCIA'!E248</f>
        <v>MERCEDES</v>
      </c>
      <c r="E248" t="str">
        <f>'DASE DADOS - DISTANCIA'!I248</f>
        <v>PLUMA</v>
      </c>
      <c r="F248" s="7">
        <v>115</v>
      </c>
      <c r="G248">
        <f>'DASE DADOS - DISTANCIA'!J248</f>
        <v>230</v>
      </c>
      <c r="H248" s="2">
        <v>420</v>
      </c>
      <c r="I248" s="2" t="e">
        <f>IF(#REF!&lt;17200,DISTÂNCIA3[[#This Row],[KM PARA PAGAMENTO DOS FRETES]]*4.74,((#REF!/17200)*4.74)*DISTÂNCIA3[[#This Row],[KM PARA PAGAMENTO DOS FRETES]])</f>
        <v>#REF!</v>
      </c>
      <c r="J248" s="4">
        <f>DISTÂNCIA3[[#This Row],[Valor CTE]]/DISTÂNCIA3[[#This Row],[KM PARA PAGAMENTO DOS FRETES]]</f>
        <v>5.2402608695652173</v>
      </c>
      <c r="K248" s="6">
        <f t="shared" ref="K248:K257" si="10">ROUND((F248*4.578)+194.44,2)</f>
        <v>720.91</v>
      </c>
      <c r="L248" s="6">
        <f>0.92*DISTÂNCIA3[[#This Row],[KM distancia]]*4.578</f>
        <v>484.3524000000001</v>
      </c>
      <c r="M248" s="6">
        <f t="shared" ref="M248:M258" si="11">ROUND(((F248*4.578)+194.44)+(0.92*F248*4.578),2)</f>
        <v>1205.26</v>
      </c>
    </row>
    <row r="249" spans="1:13" x14ac:dyDescent="0.35">
      <c r="A249">
        <f>'DASE DADOS - DISTANCIA'!A249</f>
        <v>29909</v>
      </c>
      <c r="B249" t="str">
        <f>'DASE DADOS - DISTANCIA'!B249</f>
        <v>MOACIR JOSE MORASKI</v>
      </c>
      <c r="C249" t="str">
        <f>'DASE DADOS - DISTANCIA'!C249</f>
        <v xml:space="preserve"> A5</v>
      </c>
      <c r="D249" t="str">
        <f>'DASE DADOS - DISTANCIA'!E249</f>
        <v>CAPITÃO LEÔNIDAS MARQUES</v>
      </c>
      <c r="E249" t="str">
        <f>'DASE DADOS - DISTANCIA'!I249</f>
        <v>PLUSVAL</v>
      </c>
      <c r="F249" s="7">
        <v>70</v>
      </c>
      <c r="G249">
        <f>'DASE DADOS - DISTANCIA'!J249</f>
        <v>140</v>
      </c>
      <c r="H249" s="2">
        <v>420</v>
      </c>
      <c r="I249" s="2" t="e">
        <f>IF(#REF!&lt;17200,DISTÂNCIA3[[#This Row],[KM PARA PAGAMENTO DOS FRETES]]*4.74,((#REF!/17200)*4.74)*DISTÂNCIA3[[#This Row],[KM PARA PAGAMENTO DOS FRETES]])</f>
        <v>#REF!</v>
      </c>
      <c r="J249" s="4">
        <f>DISTÂNCIA3[[#This Row],[Valor CTE]]/DISTÂNCIA3[[#This Row],[KM PARA PAGAMENTO DOS FRETES]]</f>
        <v>5.7837142857142858</v>
      </c>
      <c r="K249" s="6">
        <f t="shared" si="10"/>
        <v>514.9</v>
      </c>
      <c r="L249" s="6">
        <f>0.92*DISTÂNCIA3[[#This Row],[KM distancia]]*4.578</f>
        <v>294.82320000000004</v>
      </c>
      <c r="M249" s="6">
        <f t="shared" si="11"/>
        <v>809.72</v>
      </c>
    </row>
    <row r="250" spans="1:13" hidden="1" x14ac:dyDescent="0.35">
      <c r="A250">
        <f>'DASE DADOS - DISTANCIA'!A250</f>
        <v>29892</v>
      </c>
      <c r="B250" t="str">
        <f>'DASE DADOS - DISTANCIA'!B250</f>
        <v>EGON SEHN</v>
      </c>
      <c r="C250" t="str">
        <f>'DASE DADOS - DISTANCIA'!C250</f>
        <v xml:space="preserve"> A2</v>
      </c>
      <c r="D250" t="str">
        <f>'DASE DADOS - DISTANCIA'!E250</f>
        <v>CAPANEMA</v>
      </c>
      <c r="E250" t="str">
        <f>'DASE DADOS - DISTANCIA'!I250</f>
        <v>PLUSVAL</v>
      </c>
      <c r="F250" s="7">
        <v>108</v>
      </c>
      <c r="G250">
        <f>'DASE DADOS - DISTANCIA'!J250</f>
        <v>216</v>
      </c>
      <c r="H250" s="2">
        <v>420</v>
      </c>
      <c r="I250" s="2" t="e">
        <f>IF(#REF!&lt;17200,DISTÂNCIA3[[#This Row],[KM PARA PAGAMENTO DOS FRETES]]*4.74,((#REF!/17200)*4.74)*DISTÂNCIA3[[#This Row],[KM PARA PAGAMENTO DOS FRETES]])</f>
        <v>#REF!</v>
      </c>
      <c r="J250" s="4">
        <f>DISTÂNCIA3[[#This Row],[Valor CTE]]/DISTÂNCIA3[[#This Row],[KM PARA PAGAMENTO DOS FRETES]]</f>
        <v>5.2950462962962961</v>
      </c>
      <c r="K250" s="6">
        <f t="shared" si="10"/>
        <v>688.86</v>
      </c>
      <c r="L250" s="6">
        <f>0.92*DISTÂNCIA3[[#This Row],[KM distancia]]*4.578</f>
        <v>454.87008000000003</v>
      </c>
      <c r="M250" s="6">
        <f t="shared" si="11"/>
        <v>1143.73</v>
      </c>
    </row>
    <row r="251" spans="1:13" hidden="1" x14ac:dyDescent="0.35">
      <c r="A251">
        <f>'DASE DADOS - DISTANCIA'!A251</f>
        <v>29892</v>
      </c>
      <c r="B251" t="str">
        <f>'DASE DADOS - DISTANCIA'!B251</f>
        <v>EGON SEHN</v>
      </c>
      <c r="C251" t="str">
        <f>'DASE DADOS - DISTANCIA'!C251</f>
        <v xml:space="preserve"> A1</v>
      </c>
      <c r="D251" t="str">
        <f>'DASE DADOS - DISTANCIA'!E251</f>
        <v>CAPANEMA</v>
      </c>
      <c r="E251" t="str">
        <f>'DASE DADOS - DISTANCIA'!I251</f>
        <v>PLUSVAL</v>
      </c>
      <c r="F251" s="7">
        <v>108</v>
      </c>
      <c r="G251">
        <f>'DASE DADOS - DISTANCIA'!J251</f>
        <v>216</v>
      </c>
      <c r="H251" s="2">
        <v>420</v>
      </c>
      <c r="I251" s="2" t="e">
        <f>IF(#REF!&lt;17200,DISTÂNCIA3[[#This Row],[KM PARA PAGAMENTO DOS FRETES]]*4.74,((#REF!/17200)*4.74)*DISTÂNCIA3[[#This Row],[KM PARA PAGAMENTO DOS FRETES]])</f>
        <v>#REF!</v>
      </c>
      <c r="J251" s="4">
        <f>DISTÂNCIA3[[#This Row],[Valor CTE]]/DISTÂNCIA3[[#This Row],[KM PARA PAGAMENTO DOS FRETES]]</f>
        <v>5.2950462962962961</v>
      </c>
      <c r="K251" s="6">
        <f t="shared" si="10"/>
        <v>688.86</v>
      </c>
      <c r="L251" s="6">
        <f>0.92*DISTÂNCIA3[[#This Row],[KM distancia]]*4.578</f>
        <v>454.87008000000003</v>
      </c>
      <c r="M251" s="6">
        <f t="shared" si="11"/>
        <v>1143.73</v>
      </c>
    </row>
    <row r="252" spans="1:13" hidden="1" x14ac:dyDescent="0.35">
      <c r="A252">
        <f>'DASE DADOS - DISTANCIA'!A252</f>
        <v>0</v>
      </c>
      <c r="B252" t="str">
        <f>'DASE DADOS - DISTANCIA'!B252</f>
        <v>DILMAR CANDIOTO</v>
      </c>
      <c r="C252" t="str">
        <f>'DASE DADOS - DISTANCIA'!C252</f>
        <v xml:space="preserve"> A1</v>
      </c>
      <c r="D252" t="str">
        <f>'DASE DADOS - DISTANCIA'!E252</f>
        <v>CASCAVEL</v>
      </c>
      <c r="E252" t="str">
        <f>'DASE DADOS - DISTANCIA'!I252</f>
        <v>PLUMA</v>
      </c>
      <c r="F252" s="7">
        <v>38.5</v>
      </c>
      <c r="G252">
        <f>'DASE DADOS - DISTANCIA'!J252</f>
        <v>77</v>
      </c>
      <c r="H252" s="2">
        <v>420</v>
      </c>
      <c r="I252" s="2" t="e">
        <f>IF(#REF!&lt;17200,DISTÂNCIA3[[#This Row],[KM PARA PAGAMENTO DOS FRETES]]*4.74,((#REF!/17200)*4.74)*DISTÂNCIA3[[#This Row],[KM PARA PAGAMENTO DOS FRETES]])</f>
        <v>#REF!</v>
      </c>
      <c r="J252" s="4">
        <f>DISTÂNCIA3[[#This Row],[Valor CTE]]/DISTÂNCIA3[[#This Row],[KM PARA PAGAMENTO DOS FRETES]]</f>
        <v>6.9201298701298706</v>
      </c>
      <c r="K252" s="6">
        <f t="shared" si="10"/>
        <v>370.69</v>
      </c>
      <c r="L252" s="6">
        <f>0.92*DISTÂNCIA3[[#This Row],[KM distancia]]*4.578</f>
        <v>162.15276000000003</v>
      </c>
      <c r="M252" s="6">
        <f t="shared" si="11"/>
        <v>532.85</v>
      </c>
    </row>
    <row r="253" spans="1:13" hidden="1" x14ac:dyDescent="0.35">
      <c r="A253">
        <f>'DASE DADOS - DISTANCIA'!A253</f>
        <v>879835</v>
      </c>
      <c r="B253" t="str">
        <f>'DASE DADOS - DISTANCIA'!B253</f>
        <v>FRANCISCO ROSARIO DO PRADO</v>
      </c>
      <c r="C253" t="str">
        <f>'DASE DADOS - DISTANCIA'!C253</f>
        <v>A1</v>
      </c>
      <c r="D253" t="str">
        <f>'DASE DADOS - DISTANCIA'!E253</f>
        <v>BOA VISTA DA APARECIDA</v>
      </c>
      <c r="E253" t="str">
        <f>'DASE DADOS - DISTANCIA'!I253</f>
        <v>PLUSVAL</v>
      </c>
      <c r="F253" s="7">
        <v>82</v>
      </c>
      <c r="G253">
        <f>'DASE DADOS - DISTANCIA'!J253</f>
        <v>164</v>
      </c>
      <c r="H253" s="2">
        <v>420</v>
      </c>
      <c r="I253" s="2" t="e">
        <f>IF(#REF!&lt;17200,DISTÂNCIA3[[#This Row],[KM PARA PAGAMENTO DOS FRETES]]*4.74,((#REF!/17200)*4.74)*DISTÂNCIA3[[#This Row],[KM PARA PAGAMENTO DOS FRETES]])</f>
        <v>#REF!</v>
      </c>
      <c r="J253" s="4">
        <f>DISTÂNCIA3[[#This Row],[Valor CTE]]/DISTÂNCIA3[[#This Row],[KM PARA PAGAMENTO DOS FRETES]]</f>
        <v>5.5804878048780493</v>
      </c>
      <c r="K253" s="6">
        <f t="shared" si="10"/>
        <v>569.84</v>
      </c>
      <c r="L253" s="6">
        <f>0.92*DISTÂNCIA3[[#This Row],[KM distancia]]*4.578</f>
        <v>345.36432000000002</v>
      </c>
      <c r="M253" s="6">
        <f t="shared" si="11"/>
        <v>915.2</v>
      </c>
    </row>
    <row r="254" spans="1:13" hidden="1" x14ac:dyDescent="0.35">
      <c r="A254">
        <f>'DASE DADOS - DISTANCIA'!A254</f>
        <v>29425</v>
      </c>
      <c r="B254" t="str">
        <f>'DASE DADOS - DISTANCIA'!B254</f>
        <v>IVANIR SOKOLOWSKI</v>
      </c>
      <c r="C254" t="str">
        <f>'DASE DADOS - DISTANCIA'!C254</f>
        <v xml:space="preserve"> A1</v>
      </c>
      <c r="D254" t="str">
        <f>'DASE DADOS - DISTANCIA'!E254</f>
        <v>CAPANEMA</v>
      </c>
      <c r="E254" t="str">
        <f>'DASE DADOS - DISTANCIA'!I254</f>
        <v>PLUSVAL</v>
      </c>
      <c r="F254" s="7">
        <v>110</v>
      </c>
      <c r="G254">
        <f>'DASE DADOS - DISTANCIA'!J254</f>
        <v>220</v>
      </c>
      <c r="H254" s="2">
        <v>420</v>
      </c>
      <c r="I254" s="2" t="e">
        <f>IF(#REF!&lt;17200,DISTÂNCIA3[[#This Row],[KM PARA PAGAMENTO DOS FRETES]]*4.74,((#REF!/17200)*4.74)*DISTÂNCIA3[[#This Row],[KM PARA PAGAMENTO DOS FRETES]])</f>
        <v>#REF!</v>
      </c>
      <c r="J254" s="4">
        <f>DISTÂNCIA3[[#This Row],[Valor CTE]]/DISTÂNCIA3[[#This Row],[KM PARA PAGAMENTO DOS FRETES]]</f>
        <v>5.278681818181818</v>
      </c>
      <c r="K254" s="6">
        <f t="shared" si="10"/>
        <v>698.02</v>
      </c>
      <c r="L254" s="6">
        <f>0.92*DISTÂNCIA3[[#This Row],[KM distancia]]*4.578</f>
        <v>463.29360000000003</v>
      </c>
      <c r="M254" s="6">
        <f t="shared" si="11"/>
        <v>1161.31</v>
      </c>
    </row>
    <row r="255" spans="1:13" hidden="1" x14ac:dyDescent="0.35">
      <c r="A255">
        <f>'DASE DADOS - DISTANCIA'!A255</f>
        <v>5769329</v>
      </c>
      <c r="B255" t="str">
        <f>'DASE DADOS - DISTANCIA'!B255</f>
        <v>ELI ENGLERT</v>
      </c>
      <c r="C255" t="str">
        <f>'DASE DADOS - DISTANCIA'!C255</f>
        <v xml:space="preserve"> A2</v>
      </c>
      <c r="D255" t="str">
        <f>'DASE DADOS - DISTANCIA'!E255</f>
        <v>NOVA SANTA ROSA</v>
      </c>
      <c r="E255" t="str">
        <f>'DASE DADOS - DISTANCIA'!I255</f>
        <v>PLUMA</v>
      </c>
      <c r="F255" s="7">
        <v>110</v>
      </c>
      <c r="G255">
        <f>'DASE DADOS - DISTANCIA'!J255</f>
        <v>220</v>
      </c>
      <c r="H255" s="2">
        <v>420</v>
      </c>
      <c r="I255" s="2" t="e">
        <f>IF(#REF!&lt;17200,DISTÂNCIA3[[#This Row],[KM PARA PAGAMENTO DOS FRETES]]*4.74,((#REF!/17200)*4.74)*DISTÂNCIA3[[#This Row],[KM PARA PAGAMENTO DOS FRETES]])</f>
        <v>#REF!</v>
      </c>
      <c r="J255" s="4">
        <f>DISTÂNCIA3[[#This Row],[Valor CTE]]/DISTÂNCIA3[[#This Row],[KM PARA PAGAMENTO DOS FRETES]]</f>
        <v>5.278681818181818</v>
      </c>
      <c r="K255" s="6">
        <f t="shared" si="10"/>
        <v>698.02</v>
      </c>
      <c r="L255" s="6">
        <f>0.92*DISTÂNCIA3[[#This Row],[KM distancia]]*4.578</f>
        <v>463.29360000000003</v>
      </c>
      <c r="M255" s="6">
        <f t="shared" si="11"/>
        <v>1161.31</v>
      </c>
    </row>
    <row r="256" spans="1:13" hidden="1" x14ac:dyDescent="0.35">
      <c r="A256">
        <f>'DASE DADOS - DISTANCIA'!A256</f>
        <v>29422</v>
      </c>
      <c r="B256" t="str">
        <f>'DASE DADOS - DISTANCIA'!B256</f>
        <v>JOAO VALDECIR FONTANELA</v>
      </c>
      <c r="C256" t="str">
        <f>'DASE DADOS - DISTANCIA'!C256</f>
        <v xml:space="preserve"> A1</v>
      </c>
      <c r="D256" t="str">
        <f>'DASE DADOS - DISTANCIA'!E256</f>
        <v>CAPITÃO LEÔNIDAS MARQUES</v>
      </c>
      <c r="E256" t="str">
        <f>'DASE DADOS - DISTANCIA'!I256</f>
        <v>PLUSVAL</v>
      </c>
      <c r="F256" s="7">
        <v>75</v>
      </c>
      <c r="G256">
        <f>'DASE DADOS - DISTANCIA'!J256</f>
        <v>150</v>
      </c>
      <c r="H256" s="2">
        <v>420</v>
      </c>
      <c r="I256" s="2" t="e">
        <f>IF(#REF!&lt;17200,DISTÂNCIA3[[#This Row],[KM PARA PAGAMENTO DOS FRETES]]*4.74,((#REF!/17200)*4.74)*DISTÂNCIA3[[#This Row],[KM PARA PAGAMENTO DOS FRETES]])</f>
        <v>#REF!</v>
      </c>
      <c r="J256" s="4">
        <f>DISTÂNCIA3[[#This Row],[Valor CTE]]/DISTÂNCIA3[[#This Row],[KM PARA PAGAMENTO DOS FRETES]]</f>
        <v>5.6911333333333332</v>
      </c>
      <c r="K256" s="6">
        <f t="shared" si="10"/>
        <v>537.79</v>
      </c>
      <c r="L256" s="6">
        <f>0.92*DISTÂNCIA3[[#This Row],[KM distancia]]*4.578</f>
        <v>315.88200000000001</v>
      </c>
      <c r="M256" s="6">
        <f t="shared" si="11"/>
        <v>853.67</v>
      </c>
    </row>
    <row r="257" spans="1:13" hidden="1" x14ac:dyDescent="0.35">
      <c r="A257">
        <f>'DASE DADOS - DISTANCIA'!A257</f>
        <v>5769329</v>
      </c>
      <c r="B257" t="str">
        <f>'DASE DADOS - DISTANCIA'!B257</f>
        <v>ELI ENGLERT</v>
      </c>
      <c r="C257" t="str">
        <f>'DASE DADOS - DISTANCIA'!C257</f>
        <v xml:space="preserve"> A1</v>
      </c>
      <c r="D257" t="str">
        <f>'DASE DADOS - DISTANCIA'!E257</f>
        <v>NOVA SANTA ROSA</v>
      </c>
      <c r="E257" t="str">
        <f>'DASE DADOS - DISTANCIA'!I257</f>
        <v>PLUMA</v>
      </c>
      <c r="F257" s="7">
        <v>110</v>
      </c>
      <c r="G257">
        <f>'DASE DADOS - DISTANCIA'!J257</f>
        <v>220</v>
      </c>
      <c r="H257" s="2">
        <v>420</v>
      </c>
      <c r="I257" s="2" t="e">
        <f>IF(#REF!&lt;17200,DISTÂNCIA3[[#This Row],[KM PARA PAGAMENTO DOS FRETES]]*4.74,((#REF!/17200)*4.74)*DISTÂNCIA3[[#This Row],[KM PARA PAGAMENTO DOS FRETES]])</f>
        <v>#REF!</v>
      </c>
      <c r="J257" s="4">
        <f>DISTÂNCIA3[[#This Row],[Valor CTE]]/DISTÂNCIA3[[#This Row],[KM PARA PAGAMENTO DOS FRETES]]</f>
        <v>5.278681818181818</v>
      </c>
      <c r="K257" s="6">
        <f t="shared" si="10"/>
        <v>698.02</v>
      </c>
      <c r="L257" s="6">
        <f>0.92*DISTÂNCIA3[[#This Row],[KM distancia]]*4.578</f>
        <v>463.29360000000003</v>
      </c>
      <c r="M257" s="6">
        <f t="shared" si="11"/>
        <v>1161.31</v>
      </c>
    </row>
    <row r="258" spans="1:13" hidden="1" x14ac:dyDescent="0.35">
      <c r="A258">
        <f>'DASE DADOS - DISTANCIA'!A258</f>
        <v>29422</v>
      </c>
      <c r="B258" t="str">
        <f>'DASE DADOS - DISTANCIA'!B258</f>
        <v>JOAO VALDECIR FONTANELA</v>
      </c>
      <c r="C258" t="str">
        <f>'DASE DADOS - DISTANCIA'!C258</f>
        <v xml:space="preserve"> A2</v>
      </c>
      <c r="D258" t="str">
        <f>'DASE DADOS - DISTANCIA'!E258</f>
        <v>CAPITÃO LEÔNIDAS MARQUES</v>
      </c>
      <c r="E258" t="str">
        <f>'DASE DADOS - DISTANCIA'!I258</f>
        <v>PLUSVAL</v>
      </c>
      <c r="F258" s="7">
        <v>75</v>
      </c>
      <c r="G258">
        <f>'DASE DADOS - DISTANCIA'!J258</f>
        <v>150</v>
      </c>
      <c r="H258" s="2">
        <v>420</v>
      </c>
      <c r="I258" s="2" t="e">
        <f>IF(#REF!&lt;17200,DISTÂNCIA3[[#This Row],[KM PARA PAGAMENTO DOS FRETES]]*4.74,((#REF!/17200)*4.74)*DISTÂNCIA3[[#This Row],[KM PARA PAGAMENTO DOS FRETES]])</f>
        <v>#REF!</v>
      </c>
      <c r="J258" s="4">
        <f>DISTÂNCIA3[[#This Row],[Valor CTE]]/DISTÂNCIA3[[#This Row],[KM PARA PAGAMENTO DOS FRETES]]</f>
        <v>5.6911333333333332</v>
      </c>
      <c r="K258" s="6">
        <f t="shared" ref="K258:K321" si="12">ROUND((F258*4.578)+194.44,2)</f>
        <v>537.79</v>
      </c>
      <c r="L258" s="6">
        <f>0.92*DISTÂNCIA3[[#This Row],[KM distancia]]*4.578</f>
        <v>315.88200000000001</v>
      </c>
      <c r="M258" s="6">
        <f t="shared" si="11"/>
        <v>853.67</v>
      </c>
    </row>
    <row r="259" spans="1:13" hidden="1" x14ac:dyDescent="0.35">
      <c r="A259">
        <f>'DASE DADOS - DISTANCIA'!A259</f>
        <v>0</v>
      </c>
      <c r="B259" t="str">
        <f>'DASE DADOS - DISTANCIA'!B259</f>
        <v>DIOGENES PEROZZO</v>
      </c>
      <c r="C259" t="str">
        <f>'DASE DADOS - DISTANCIA'!C259</f>
        <v xml:space="preserve"> A2</v>
      </c>
      <c r="D259" t="str">
        <f>'DASE DADOS - DISTANCIA'!E259</f>
        <v>CASCAVEL</v>
      </c>
      <c r="E259" t="str">
        <f>'DASE DADOS - DISTANCIA'!I259</f>
        <v>PLUMA</v>
      </c>
      <c r="F259" s="7">
        <v>29</v>
      </c>
      <c r="G259">
        <f>'DASE DADOS - DISTANCIA'!J259</f>
        <v>58</v>
      </c>
      <c r="H259" s="2">
        <v>420</v>
      </c>
      <c r="I259" s="2" t="e">
        <f>IF(#REF!&lt;17200,DISTÂNCIA3[[#This Row],[KM PARA PAGAMENTO DOS FRETES]]*4.74,((#REF!/17200)*4.74)*DISTÂNCIA3[[#This Row],[KM PARA PAGAMENTO DOS FRETES]])</f>
        <v>#REF!</v>
      </c>
      <c r="J259" s="4">
        <f>DISTÂNCIA3[[#This Row],[Valor CTE]]/DISTÂNCIA3[[#This Row],[KM PARA PAGAMENTO DOS FRETES]]</f>
        <v>7.7472413793103447</v>
      </c>
      <c r="K259" s="6">
        <f t="shared" si="12"/>
        <v>327.2</v>
      </c>
      <c r="L259" s="6">
        <f>0.92*DISTÂNCIA3[[#This Row],[KM distancia]]*4.578</f>
        <v>122.14104</v>
      </c>
      <c r="M259" s="6">
        <f t="shared" ref="M259:M322" si="13">ROUND(((F259*4.578)+194.44)+(0.92*F259*4.578),2)</f>
        <v>449.34</v>
      </c>
    </row>
    <row r="260" spans="1:13" hidden="1" x14ac:dyDescent="0.35">
      <c r="A260">
        <f>'DASE DADOS - DISTANCIA'!A260</f>
        <v>840211</v>
      </c>
      <c r="B260" t="str">
        <f>'DASE DADOS - DISTANCIA'!B260</f>
        <v>LUCAS ASCARI</v>
      </c>
      <c r="C260" t="str">
        <f>'DASE DADOS - DISTANCIA'!C260</f>
        <v xml:space="preserve"> A1</v>
      </c>
      <c r="D260" t="str">
        <f>'DASE DADOS - DISTANCIA'!E260</f>
        <v>TRÊS BARRAS DO PARANÁ</v>
      </c>
      <c r="E260" t="str">
        <f>'DASE DADOS - DISTANCIA'!I260</f>
        <v>PLUSVAL</v>
      </c>
      <c r="F260" s="7">
        <v>97</v>
      </c>
      <c r="G260">
        <f>'DASE DADOS - DISTANCIA'!J260</f>
        <v>194</v>
      </c>
      <c r="H260" s="2">
        <v>420</v>
      </c>
      <c r="I260" s="2" t="e">
        <f>IF(#REF!&lt;17200,DISTÂNCIA3[[#This Row],[KM PARA PAGAMENTO DOS FRETES]]*4.74,((#REF!/17200)*4.74)*DISTÂNCIA3[[#This Row],[KM PARA PAGAMENTO DOS FRETES]])</f>
        <v>#REF!</v>
      </c>
      <c r="J260" s="4">
        <f>DISTÂNCIA3[[#This Row],[Valor CTE]]/DISTÂNCIA3[[#This Row],[KM PARA PAGAMENTO DOS FRETES]]</f>
        <v>5.3971649484536082</v>
      </c>
      <c r="K260" s="6">
        <f t="shared" si="12"/>
        <v>638.51</v>
      </c>
      <c r="L260" s="6">
        <f>0.92*DISTÂNCIA3[[#This Row],[KM distancia]]*4.578</f>
        <v>408.54072000000008</v>
      </c>
      <c r="M260" s="6">
        <f t="shared" si="13"/>
        <v>1047.05</v>
      </c>
    </row>
    <row r="261" spans="1:13" hidden="1" x14ac:dyDescent="0.35">
      <c r="A261">
        <f>'DASE DADOS - DISTANCIA'!A261</f>
        <v>0</v>
      </c>
      <c r="B261" t="str">
        <f>'DASE DADOS - DISTANCIA'!B261</f>
        <v>DIOGENES PEROZZO</v>
      </c>
      <c r="C261" t="str">
        <f>'DASE DADOS - DISTANCIA'!C261</f>
        <v xml:space="preserve"> A1</v>
      </c>
      <c r="D261" t="str">
        <f>'DASE DADOS - DISTANCIA'!E261</f>
        <v>CASCAVEL</v>
      </c>
      <c r="E261" t="str">
        <f>'DASE DADOS - DISTANCIA'!I261</f>
        <v>PLUMA</v>
      </c>
      <c r="F261" s="7">
        <v>29</v>
      </c>
      <c r="G261">
        <f>'DASE DADOS - DISTANCIA'!J261</f>
        <v>58</v>
      </c>
      <c r="H261" s="2">
        <v>420</v>
      </c>
      <c r="I261" s="2" t="e">
        <f>IF(#REF!&lt;17200,DISTÂNCIA3[[#This Row],[KM PARA PAGAMENTO DOS FRETES]]*4.74,((#REF!/17200)*4.74)*DISTÂNCIA3[[#This Row],[KM PARA PAGAMENTO DOS FRETES]])</f>
        <v>#REF!</v>
      </c>
      <c r="J261" s="4">
        <f>DISTÂNCIA3[[#This Row],[Valor CTE]]/DISTÂNCIA3[[#This Row],[KM PARA PAGAMENTO DOS FRETES]]</f>
        <v>7.7472413793103447</v>
      </c>
      <c r="K261" s="6">
        <f t="shared" si="12"/>
        <v>327.2</v>
      </c>
      <c r="L261" s="6">
        <f>0.92*DISTÂNCIA3[[#This Row],[KM distancia]]*4.578</f>
        <v>122.14104</v>
      </c>
      <c r="M261" s="6">
        <f t="shared" si="13"/>
        <v>449.34</v>
      </c>
    </row>
    <row r="262" spans="1:13" hidden="1" x14ac:dyDescent="0.35">
      <c r="A262">
        <f>'DASE DADOS - DISTANCIA'!A262</f>
        <v>840211</v>
      </c>
      <c r="B262" t="str">
        <f>'DASE DADOS - DISTANCIA'!B262</f>
        <v>LUCAS ASCARI</v>
      </c>
      <c r="C262" t="str">
        <f>'DASE DADOS - DISTANCIA'!C262</f>
        <v xml:space="preserve"> A2</v>
      </c>
      <c r="D262" t="str">
        <f>'DASE DADOS - DISTANCIA'!E262</f>
        <v>TRÊS BARRAS DO PARANÁ</v>
      </c>
      <c r="E262" t="str">
        <f>'DASE DADOS - DISTANCIA'!I262</f>
        <v>PLUSVAL</v>
      </c>
      <c r="F262" s="7">
        <v>97</v>
      </c>
      <c r="G262">
        <f>'DASE DADOS - DISTANCIA'!J262</f>
        <v>194</v>
      </c>
      <c r="H262" s="2">
        <v>420</v>
      </c>
      <c r="I262" s="2" t="e">
        <f>IF(#REF!&lt;17200,DISTÂNCIA3[[#This Row],[KM PARA PAGAMENTO DOS FRETES]]*4.74,((#REF!/17200)*4.74)*DISTÂNCIA3[[#This Row],[KM PARA PAGAMENTO DOS FRETES]])</f>
        <v>#REF!</v>
      </c>
      <c r="J262" s="4">
        <f>DISTÂNCIA3[[#This Row],[Valor CTE]]/DISTÂNCIA3[[#This Row],[KM PARA PAGAMENTO DOS FRETES]]</f>
        <v>5.3971649484536082</v>
      </c>
      <c r="K262" s="6">
        <f t="shared" si="12"/>
        <v>638.51</v>
      </c>
      <c r="L262" s="6">
        <f>0.92*DISTÂNCIA3[[#This Row],[KM distancia]]*4.578</f>
        <v>408.54072000000008</v>
      </c>
      <c r="M262" s="6">
        <f t="shared" si="13"/>
        <v>1047.05</v>
      </c>
    </row>
    <row r="263" spans="1:13" hidden="1" x14ac:dyDescent="0.35">
      <c r="A263">
        <f>'DASE DADOS - DISTANCIA'!A263</f>
        <v>29893</v>
      </c>
      <c r="B263" t="str">
        <f>'DASE DADOS - DISTANCIA'!B263</f>
        <v>ELIAS DE OLIVEIRA</v>
      </c>
      <c r="C263" t="str">
        <f>'DASE DADOS - DISTANCIA'!C263</f>
        <v xml:space="preserve"> A2</v>
      </c>
      <c r="D263" t="str">
        <f>'DASE DADOS - DISTANCIA'!E263</f>
        <v>CAPITÃO LEÔNIDAS MARQUES</v>
      </c>
      <c r="E263" t="str">
        <f>'DASE DADOS - DISTANCIA'!I263</f>
        <v>PLUSVAL</v>
      </c>
      <c r="F263" s="7">
        <v>81</v>
      </c>
      <c r="G263">
        <f>'DASE DADOS - DISTANCIA'!J263</f>
        <v>162</v>
      </c>
      <c r="H263" s="2">
        <v>420</v>
      </c>
      <c r="I263" s="2" t="e">
        <f>IF(#REF!&lt;17200,DISTÂNCIA3[[#This Row],[KM PARA PAGAMENTO DOS FRETES]]*4.74,((#REF!/17200)*4.74)*DISTÂNCIA3[[#This Row],[KM PARA PAGAMENTO DOS FRETES]])</f>
        <v>#REF!</v>
      </c>
      <c r="J263" s="4">
        <f>DISTÂNCIA3[[#This Row],[Valor CTE]]/DISTÂNCIA3[[#This Row],[KM PARA PAGAMENTO DOS FRETES]]</f>
        <v>5.5951234567901231</v>
      </c>
      <c r="K263" s="6">
        <f t="shared" si="12"/>
        <v>565.26</v>
      </c>
      <c r="L263" s="6">
        <f>0.92*DISTÂNCIA3[[#This Row],[KM distancia]]*4.578</f>
        <v>341.15256000000005</v>
      </c>
      <c r="M263" s="6">
        <f t="shared" si="13"/>
        <v>906.41</v>
      </c>
    </row>
    <row r="264" spans="1:13" hidden="1" x14ac:dyDescent="0.35">
      <c r="A264">
        <f>'DASE DADOS - DISTANCIA'!A264</f>
        <v>29893</v>
      </c>
      <c r="B264" t="str">
        <f>'DASE DADOS - DISTANCIA'!B264</f>
        <v>ELIAS DE OLIVEIRA</v>
      </c>
      <c r="C264" t="str">
        <f>'DASE DADOS - DISTANCIA'!C264</f>
        <v xml:space="preserve"> A1</v>
      </c>
      <c r="D264" t="str">
        <f>'DASE DADOS - DISTANCIA'!E264</f>
        <v>CAPITÃO LEÔNIDAS MARQUES</v>
      </c>
      <c r="E264" t="str">
        <f>'DASE DADOS - DISTANCIA'!I264</f>
        <v>PLUSVAL</v>
      </c>
      <c r="F264" s="7">
        <v>81</v>
      </c>
      <c r="G264">
        <f>'DASE DADOS - DISTANCIA'!J264</f>
        <v>162</v>
      </c>
      <c r="H264" s="2">
        <v>420</v>
      </c>
      <c r="I264" s="2" t="e">
        <f>IF(#REF!&lt;17200,DISTÂNCIA3[[#This Row],[KM PARA PAGAMENTO DOS FRETES]]*4.74,((#REF!/17200)*4.74)*DISTÂNCIA3[[#This Row],[KM PARA PAGAMENTO DOS FRETES]])</f>
        <v>#REF!</v>
      </c>
      <c r="J264" s="4">
        <f>DISTÂNCIA3[[#This Row],[Valor CTE]]/DISTÂNCIA3[[#This Row],[KM PARA PAGAMENTO DOS FRETES]]</f>
        <v>5.5951234567901231</v>
      </c>
      <c r="K264" s="6">
        <f t="shared" si="12"/>
        <v>565.26</v>
      </c>
      <c r="L264" s="6">
        <f>0.92*DISTÂNCIA3[[#This Row],[KM distancia]]*4.578</f>
        <v>341.15256000000005</v>
      </c>
      <c r="M264" s="6">
        <f t="shared" si="13"/>
        <v>906.41</v>
      </c>
    </row>
    <row r="265" spans="1:13" hidden="1" x14ac:dyDescent="0.35">
      <c r="A265">
        <f>'DASE DADOS - DISTANCIA'!A265</f>
        <v>47201</v>
      </c>
      <c r="B265" t="str">
        <f>'DASE DADOS - DISTANCIA'!B265</f>
        <v>LUCAS HENRIQUE SCHLOSSER DICK</v>
      </c>
      <c r="C265" t="str">
        <f>'DASE DADOS - DISTANCIA'!C265</f>
        <v xml:space="preserve"> A1</v>
      </c>
      <c r="D265" t="str">
        <f>'DASE DADOS - DISTANCIA'!E265</f>
        <v>CAPANEMA</v>
      </c>
      <c r="E265" t="str">
        <f>'DASE DADOS - DISTANCIA'!I265</f>
        <v>PLUSVAL</v>
      </c>
      <c r="F265" s="7">
        <v>132</v>
      </c>
      <c r="G265">
        <f>'DASE DADOS - DISTANCIA'!J265</f>
        <v>264</v>
      </c>
      <c r="H265" s="2">
        <v>420</v>
      </c>
      <c r="I265" s="2" t="e">
        <f>IF(#REF!&lt;17200,DISTÂNCIA3[[#This Row],[KM PARA PAGAMENTO DOS FRETES]]*4.74,((#REF!/17200)*4.74)*DISTÂNCIA3[[#This Row],[KM PARA PAGAMENTO DOS FRETES]])</f>
        <v>#REF!</v>
      </c>
      <c r="J265" s="4">
        <f>DISTÂNCIA3[[#This Row],[Valor CTE]]/DISTÂNCIA3[[#This Row],[KM PARA PAGAMENTO DOS FRETES]]</f>
        <v>5.1314015151515155</v>
      </c>
      <c r="K265" s="6">
        <f t="shared" si="12"/>
        <v>798.74</v>
      </c>
      <c r="L265" s="6">
        <f>0.92*DISTÂNCIA3[[#This Row],[KM distancia]]*4.578</f>
        <v>555.9523200000001</v>
      </c>
      <c r="M265" s="6">
        <f t="shared" si="13"/>
        <v>1354.69</v>
      </c>
    </row>
    <row r="266" spans="1:13" hidden="1" x14ac:dyDescent="0.35">
      <c r="A266">
        <f>'DASE DADOS - DISTANCIA'!A266</f>
        <v>0</v>
      </c>
      <c r="B266" t="str">
        <f>'DASE DADOS - DISTANCIA'!B266</f>
        <v>DIOGENES RAISEL DA CRUZ</v>
      </c>
      <c r="C266" t="str">
        <f>'DASE DADOS - DISTANCIA'!C266</f>
        <v xml:space="preserve"> A2</v>
      </c>
      <c r="D266" t="str">
        <f>'DASE DADOS - DISTANCIA'!E266</f>
        <v>CASCAVEL</v>
      </c>
      <c r="E266" t="str">
        <f>'DASE DADOS - DISTANCIA'!I266</f>
        <v>PLUMA</v>
      </c>
      <c r="F266" s="7">
        <v>22</v>
      </c>
      <c r="G266">
        <f>'DASE DADOS - DISTANCIA'!J266</f>
        <v>44</v>
      </c>
      <c r="H266" s="2">
        <v>420</v>
      </c>
      <c r="I266" s="2" t="e">
        <f>IF(#REF!&lt;17200,DISTÂNCIA3[[#This Row],[KM PARA PAGAMENTO DOS FRETES]]*4.74,((#REF!/17200)*4.74)*DISTÂNCIA3[[#This Row],[KM PARA PAGAMENTO DOS FRETES]])</f>
        <v>#REF!</v>
      </c>
      <c r="J266" s="4">
        <f>DISTÂNCIA3[[#This Row],[Valor CTE]]/DISTÂNCIA3[[#This Row],[KM PARA PAGAMENTO DOS FRETES]]</f>
        <v>8.8138636363636369</v>
      </c>
      <c r="K266" s="6">
        <f t="shared" si="12"/>
        <v>295.16000000000003</v>
      </c>
      <c r="L266" s="6">
        <f>0.92*DISTÂNCIA3[[#This Row],[KM distancia]]*4.578</f>
        <v>92.658720000000017</v>
      </c>
      <c r="M266" s="6">
        <f t="shared" si="13"/>
        <v>387.81</v>
      </c>
    </row>
    <row r="267" spans="1:13" hidden="1" x14ac:dyDescent="0.35">
      <c r="A267">
        <f>'DASE DADOS - DISTANCIA'!A267</f>
        <v>30471</v>
      </c>
      <c r="B267" t="str">
        <f>'DASE DADOS - DISTANCIA'!B267</f>
        <v>MARCOS OENNING</v>
      </c>
      <c r="C267" t="str">
        <f>'DASE DADOS - DISTANCIA'!C267</f>
        <v xml:space="preserve"> A2</v>
      </c>
      <c r="D267" t="str">
        <f>'DASE DADOS - DISTANCIA'!E267</f>
        <v>TRÊS BARRAS DO PARANÁ</v>
      </c>
      <c r="E267" t="str">
        <f>'DASE DADOS - DISTANCIA'!I267</f>
        <v>PLUSVAL</v>
      </c>
      <c r="F267" s="7">
        <v>114</v>
      </c>
      <c r="G267">
        <f>'DASE DADOS - DISTANCIA'!J267</f>
        <v>228</v>
      </c>
      <c r="H267" s="2">
        <v>420</v>
      </c>
      <c r="I267" s="2" t="e">
        <f>IF(#REF!&lt;17200,DISTÂNCIA3[[#This Row],[KM PARA PAGAMENTO DOS FRETES]]*4.74,((#REF!/17200)*4.74)*DISTÂNCIA3[[#This Row],[KM PARA PAGAMENTO DOS FRETES]])</f>
        <v>#REF!</v>
      </c>
      <c r="J267" s="4">
        <f>DISTÂNCIA3[[#This Row],[Valor CTE]]/DISTÂNCIA3[[#This Row],[KM PARA PAGAMENTO DOS FRETES]]</f>
        <v>5.2476754385964917</v>
      </c>
      <c r="K267" s="6">
        <f t="shared" si="12"/>
        <v>716.33</v>
      </c>
      <c r="L267" s="6">
        <f>0.92*DISTÂNCIA3[[#This Row],[KM distancia]]*4.578</f>
        <v>480.14064000000008</v>
      </c>
      <c r="M267" s="6">
        <f t="shared" si="13"/>
        <v>1196.47</v>
      </c>
    </row>
    <row r="268" spans="1:13" hidden="1" x14ac:dyDescent="0.35">
      <c r="A268">
        <f>'DASE DADOS - DISTANCIA'!A268</f>
        <v>0</v>
      </c>
      <c r="B268" t="str">
        <f>'DASE DADOS - DISTANCIA'!B268</f>
        <v>DIOGENES RAISEL DA CRUZ</v>
      </c>
      <c r="C268" t="str">
        <f>'DASE DADOS - DISTANCIA'!C268</f>
        <v xml:space="preserve"> A1</v>
      </c>
      <c r="D268" t="str">
        <f>'DASE DADOS - DISTANCIA'!E268</f>
        <v>CASCAVEL</v>
      </c>
      <c r="E268" t="str">
        <f>'DASE DADOS - DISTANCIA'!I268</f>
        <v>PLUMA</v>
      </c>
      <c r="F268" s="7">
        <v>22</v>
      </c>
      <c r="G268">
        <f>'DASE DADOS - DISTANCIA'!J268</f>
        <v>44</v>
      </c>
      <c r="H268" s="2">
        <v>420</v>
      </c>
      <c r="I268" s="2" t="e">
        <f>IF(#REF!&lt;17200,DISTÂNCIA3[[#This Row],[KM PARA PAGAMENTO DOS FRETES]]*4.74,((#REF!/17200)*4.74)*DISTÂNCIA3[[#This Row],[KM PARA PAGAMENTO DOS FRETES]])</f>
        <v>#REF!</v>
      </c>
      <c r="J268" s="4">
        <f>DISTÂNCIA3[[#This Row],[Valor CTE]]/DISTÂNCIA3[[#This Row],[KM PARA PAGAMENTO DOS FRETES]]</f>
        <v>8.8138636363636369</v>
      </c>
      <c r="K268" s="6">
        <f t="shared" si="12"/>
        <v>295.16000000000003</v>
      </c>
      <c r="L268" s="6">
        <f>0.92*DISTÂNCIA3[[#This Row],[KM distancia]]*4.578</f>
        <v>92.658720000000017</v>
      </c>
      <c r="M268" s="6">
        <f t="shared" si="13"/>
        <v>387.81</v>
      </c>
    </row>
    <row r="269" spans="1:13" hidden="1" x14ac:dyDescent="0.35">
      <c r="A269">
        <f>'DASE DADOS - DISTANCIA'!A269</f>
        <v>30471</v>
      </c>
      <c r="B269" t="str">
        <f>'DASE DADOS - DISTANCIA'!B269</f>
        <v>MARCOS OENNING</v>
      </c>
      <c r="C269" t="str">
        <f>'DASE DADOS - DISTANCIA'!C269</f>
        <v xml:space="preserve"> A1</v>
      </c>
      <c r="D269" t="str">
        <f>'DASE DADOS - DISTANCIA'!E269</f>
        <v>TRÊS BARRAS DO PARANÁ</v>
      </c>
      <c r="E269" t="str">
        <f>'DASE DADOS - DISTANCIA'!I269</f>
        <v>PLUSVAL</v>
      </c>
      <c r="F269" s="7">
        <v>114</v>
      </c>
      <c r="G269">
        <f>'DASE DADOS - DISTANCIA'!J269</f>
        <v>228</v>
      </c>
      <c r="H269" s="2">
        <v>420</v>
      </c>
      <c r="I269" s="2" t="e">
        <f>IF(#REF!&lt;17200,DISTÂNCIA3[[#This Row],[KM PARA PAGAMENTO DOS FRETES]]*4.74,((#REF!/17200)*4.74)*DISTÂNCIA3[[#This Row],[KM PARA PAGAMENTO DOS FRETES]])</f>
        <v>#REF!</v>
      </c>
      <c r="J269" s="4">
        <f>DISTÂNCIA3[[#This Row],[Valor CTE]]/DISTÂNCIA3[[#This Row],[KM PARA PAGAMENTO DOS FRETES]]</f>
        <v>5.2476754385964917</v>
      </c>
      <c r="K269" s="6">
        <f t="shared" si="12"/>
        <v>716.33</v>
      </c>
      <c r="L269" s="6">
        <f>0.92*DISTÂNCIA3[[#This Row],[KM distancia]]*4.578</f>
        <v>480.14064000000008</v>
      </c>
      <c r="M269" s="6">
        <f t="shared" si="13"/>
        <v>1196.47</v>
      </c>
    </row>
    <row r="270" spans="1:13" hidden="1" x14ac:dyDescent="0.35">
      <c r="A270">
        <f>'DASE DADOS - DISTANCIA'!A270</f>
        <v>0</v>
      </c>
      <c r="B270" t="str">
        <f>'DASE DADOS - DISTANCIA'!B270</f>
        <v>NERIO LUIZ MATIAS DA ROCHA</v>
      </c>
      <c r="C270" t="str">
        <f>'DASE DADOS - DISTANCIA'!C270</f>
        <v xml:space="preserve"> A1</v>
      </c>
      <c r="D270" t="str">
        <f>'DASE DADOS - DISTANCIA'!E270</f>
        <v>BARRACÃO</v>
      </c>
      <c r="E270" t="str">
        <f>'DASE DADOS - DISTANCIA'!I270</f>
        <v>PLUSVAL</v>
      </c>
      <c r="F270" s="7">
        <v>190</v>
      </c>
      <c r="G270">
        <f>'DASE DADOS - DISTANCIA'!J270</f>
        <v>380</v>
      </c>
      <c r="H270" s="2">
        <v>420</v>
      </c>
      <c r="I270" s="2" t="e">
        <f>IF(#REF!&lt;17200,DISTÂNCIA3[[#This Row],[KM PARA PAGAMENTO DOS FRETES]]*4.74,((#REF!/17200)*4.74)*DISTÂNCIA3[[#This Row],[KM PARA PAGAMENTO DOS FRETES]])</f>
        <v>#REF!</v>
      </c>
      <c r="J270" s="4">
        <f>DISTÂNCIA3[[#This Row],[Valor CTE]]/DISTÂNCIA3[[#This Row],[KM PARA PAGAMENTO DOS FRETES]]</f>
        <v>4.9065526315789478</v>
      </c>
      <c r="K270" s="6">
        <f t="shared" si="12"/>
        <v>1064.26</v>
      </c>
      <c r="L270" s="6">
        <f>0.92*DISTÂNCIA3[[#This Row],[KM distancia]]*4.578</f>
        <v>800.23440000000005</v>
      </c>
      <c r="M270" s="6">
        <f t="shared" si="13"/>
        <v>1864.49</v>
      </c>
    </row>
    <row r="271" spans="1:13" hidden="1" x14ac:dyDescent="0.35">
      <c r="A271">
        <f>'DASE DADOS - DISTANCIA'!A271</f>
        <v>757624</v>
      </c>
      <c r="B271" t="str">
        <f>'DASE DADOS - DISTANCIA'!B271</f>
        <v>NILSON LUIZ DA ROCHA</v>
      </c>
      <c r="C271" t="str">
        <f>'DASE DADOS - DISTANCIA'!C271</f>
        <v xml:space="preserve"> A1</v>
      </c>
      <c r="D271" t="str">
        <f>'DASE DADOS - DISTANCIA'!E271</f>
        <v>BARRACÃO</v>
      </c>
      <c r="E271" t="str">
        <f>'DASE DADOS - DISTANCIA'!I271</f>
        <v>PLUSVAL</v>
      </c>
      <c r="F271" s="7">
        <v>189</v>
      </c>
      <c r="G271">
        <f>'DASE DADOS - DISTANCIA'!J271</f>
        <v>378</v>
      </c>
      <c r="H271" s="2">
        <v>420</v>
      </c>
      <c r="I271" s="2" t="e">
        <f>IF(#REF!&lt;17200,DISTÂNCIA3[[#This Row],[KM PARA PAGAMENTO DOS FRETES]]*4.74,((#REF!/17200)*4.74)*DISTÂNCIA3[[#This Row],[KM PARA PAGAMENTO DOS FRETES]])</f>
        <v>#REF!</v>
      </c>
      <c r="J271" s="4">
        <f>DISTÂNCIA3[[#This Row],[Valor CTE]]/DISTÂNCIA3[[#This Row],[KM PARA PAGAMENTO DOS FRETES]]</f>
        <v>4.909259259259259</v>
      </c>
      <c r="K271" s="6">
        <f t="shared" si="12"/>
        <v>1059.68</v>
      </c>
      <c r="L271" s="6">
        <f>0.92*DISTÂNCIA3[[#This Row],[KM distancia]]*4.578</f>
        <v>796.02264000000002</v>
      </c>
      <c r="M271" s="6">
        <f t="shared" si="13"/>
        <v>1855.7</v>
      </c>
    </row>
    <row r="272" spans="1:13" hidden="1" x14ac:dyDescent="0.35">
      <c r="A272">
        <f>'DASE DADOS - DISTANCIA'!A272</f>
        <v>0</v>
      </c>
      <c r="B272" t="str">
        <f>'DASE DADOS - DISTANCIA'!B272</f>
        <v>DIRCE TERESINHA ELY SCHNEIDER</v>
      </c>
      <c r="C272" t="str">
        <f>'DASE DADOS - DISTANCIA'!C272</f>
        <v xml:space="preserve"> A2</v>
      </c>
      <c r="D272" t="str">
        <f>'DASE DADOS - DISTANCIA'!E272</f>
        <v>TOLEDO</v>
      </c>
      <c r="E272" t="str">
        <f>'DASE DADOS - DISTANCIA'!I272</f>
        <v>PLUMA</v>
      </c>
      <c r="F272" s="7">
        <v>75.5</v>
      </c>
      <c r="G272">
        <f>'DASE DADOS - DISTANCIA'!J272</f>
        <v>151</v>
      </c>
      <c r="H272" s="2">
        <v>420</v>
      </c>
      <c r="I272" s="2" t="e">
        <f>IF(#REF!&lt;17200,DISTÂNCIA3[[#This Row],[KM PARA PAGAMENTO DOS FRETES]]*4.74,((#REF!/17200)*4.74)*DISTÂNCIA3[[#This Row],[KM PARA PAGAMENTO DOS FRETES]])</f>
        <v>#REF!</v>
      </c>
      <c r="J272" s="4">
        <f>DISTÂNCIA3[[#This Row],[Valor CTE]]/DISTÂNCIA3[[#This Row],[KM PARA PAGAMENTO DOS FRETES]]</f>
        <v>5.6825827814569543</v>
      </c>
      <c r="K272" s="6">
        <f t="shared" si="12"/>
        <v>540.08000000000004</v>
      </c>
      <c r="L272" s="6">
        <f>0.92*DISTÂNCIA3[[#This Row],[KM distancia]]*4.578</f>
        <v>317.98788000000008</v>
      </c>
      <c r="M272" s="6">
        <f t="shared" si="13"/>
        <v>858.07</v>
      </c>
    </row>
    <row r="273" spans="1:13" hidden="1" x14ac:dyDescent="0.35">
      <c r="A273">
        <f>'DASE DADOS - DISTANCIA'!A273</f>
        <v>30083</v>
      </c>
      <c r="B273" t="str">
        <f>'DASE DADOS - DISTANCIA'!B273</f>
        <v>NILTON OENNING</v>
      </c>
      <c r="C273" t="str">
        <f>'DASE DADOS - DISTANCIA'!C273</f>
        <v xml:space="preserve"> A1</v>
      </c>
      <c r="D273" t="str">
        <f>'DASE DADOS - DISTANCIA'!E273</f>
        <v>TRÊS BARRAS DO PARANÁ</v>
      </c>
      <c r="E273" t="str">
        <f>'DASE DADOS - DISTANCIA'!I273</f>
        <v>PLUSVAL</v>
      </c>
      <c r="F273" s="7">
        <v>110</v>
      </c>
      <c r="G273">
        <f>'DASE DADOS - DISTANCIA'!J273</f>
        <v>220</v>
      </c>
      <c r="H273" s="2">
        <v>420</v>
      </c>
      <c r="I273" s="2" t="e">
        <f>IF(#REF!&lt;17200,DISTÂNCIA3[[#This Row],[KM PARA PAGAMENTO DOS FRETES]]*4.74,((#REF!/17200)*4.74)*DISTÂNCIA3[[#This Row],[KM PARA PAGAMENTO DOS FRETES]])</f>
        <v>#REF!</v>
      </c>
      <c r="J273" s="4">
        <f>DISTÂNCIA3[[#This Row],[Valor CTE]]/DISTÂNCIA3[[#This Row],[KM PARA PAGAMENTO DOS FRETES]]</f>
        <v>5.278681818181818</v>
      </c>
      <c r="K273" s="6">
        <f t="shared" si="12"/>
        <v>698.02</v>
      </c>
      <c r="L273" s="6">
        <f>0.92*DISTÂNCIA3[[#This Row],[KM distancia]]*4.578</f>
        <v>463.29360000000003</v>
      </c>
      <c r="M273" s="6">
        <f t="shared" si="13"/>
        <v>1161.31</v>
      </c>
    </row>
    <row r="274" spans="1:13" hidden="1" x14ac:dyDescent="0.35">
      <c r="A274">
        <f>'DASE DADOS - DISTANCIA'!A274</f>
        <v>0</v>
      </c>
      <c r="B274" t="str">
        <f>'DASE DADOS - DISTANCIA'!B274</f>
        <v>DIRCE TERESINHA ELY SCHNEIDER</v>
      </c>
      <c r="C274" t="str">
        <f>'DASE DADOS - DISTANCIA'!C274</f>
        <v xml:space="preserve"> A1</v>
      </c>
      <c r="D274" t="str">
        <f>'DASE DADOS - DISTANCIA'!E274</f>
        <v>TOLEDO</v>
      </c>
      <c r="E274" t="str">
        <f>'DASE DADOS - DISTANCIA'!I274</f>
        <v>PLUMA</v>
      </c>
      <c r="F274" s="7">
        <v>75.5</v>
      </c>
      <c r="G274">
        <f>'DASE DADOS - DISTANCIA'!J274</f>
        <v>151</v>
      </c>
      <c r="H274" s="2">
        <v>420</v>
      </c>
      <c r="I274" s="2" t="e">
        <f>IF(#REF!&lt;17200,DISTÂNCIA3[[#This Row],[KM PARA PAGAMENTO DOS FRETES]]*4.74,((#REF!/17200)*4.74)*DISTÂNCIA3[[#This Row],[KM PARA PAGAMENTO DOS FRETES]])</f>
        <v>#REF!</v>
      </c>
      <c r="J274" s="4">
        <f>DISTÂNCIA3[[#This Row],[Valor CTE]]/DISTÂNCIA3[[#This Row],[KM PARA PAGAMENTO DOS FRETES]]</f>
        <v>5.6825827814569543</v>
      </c>
      <c r="K274" s="6">
        <f t="shared" si="12"/>
        <v>540.08000000000004</v>
      </c>
      <c r="L274" s="6">
        <f>0.92*DISTÂNCIA3[[#This Row],[KM distancia]]*4.578</f>
        <v>317.98788000000008</v>
      </c>
      <c r="M274" s="6">
        <f t="shared" si="13"/>
        <v>858.07</v>
      </c>
    </row>
    <row r="275" spans="1:13" hidden="1" x14ac:dyDescent="0.35">
      <c r="A275">
        <f>'DASE DADOS - DISTANCIA'!A275</f>
        <v>30474</v>
      </c>
      <c r="B275" t="str">
        <f>'DASE DADOS - DISTANCIA'!B275</f>
        <v>NOLI PALAVER</v>
      </c>
      <c r="C275" t="str">
        <f>'DASE DADOS - DISTANCIA'!C275</f>
        <v xml:space="preserve"> A2</v>
      </c>
      <c r="D275" t="str">
        <f>'DASE DADOS - DISTANCIA'!E275</f>
        <v>PLANALTO</v>
      </c>
      <c r="E275" t="str">
        <f>'DASE DADOS - DISTANCIA'!I275</f>
        <v>PLUSVAL</v>
      </c>
      <c r="F275" s="7">
        <v>117</v>
      </c>
      <c r="G275">
        <f>'DASE DADOS - DISTANCIA'!J275</f>
        <v>234</v>
      </c>
      <c r="H275" s="2">
        <v>420</v>
      </c>
      <c r="I275" s="2" t="e">
        <f>IF(#REF!&lt;17200,DISTÂNCIA3[[#This Row],[KM PARA PAGAMENTO DOS FRETES]]*4.74,((#REF!/17200)*4.74)*DISTÂNCIA3[[#This Row],[KM PARA PAGAMENTO DOS FRETES]])</f>
        <v>#REF!</v>
      </c>
      <c r="J275" s="4">
        <f>DISTÂNCIA3[[#This Row],[Valor CTE]]/DISTÂNCIA3[[#This Row],[KM PARA PAGAMENTO DOS FRETES]]</f>
        <v>5.2258119658119657</v>
      </c>
      <c r="K275" s="6">
        <f t="shared" si="12"/>
        <v>730.07</v>
      </c>
      <c r="L275" s="6">
        <f>0.92*DISTÂNCIA3[[#This Row],[KM distancia]]*4.578</f>
        <v>492.77592000000004</v>
      </c>
      <c r="M275" s="6">
        <f t="shared" si="13"/>
        <v>1222.8399999999999</v>
      </c>
    </row>
    <row r="276" spans="1:13" hidden="1" x14ac:dyDescent="0.35">
      <c r="A276">
        <f>'DASE DADOS - DISTANCIA'!A276</f>
        <v>5649080</v>
      </c>
      <c r="B276" t="str">
        <f>'DASE DADOS - DISTANCIA'!B276</f>
        <v>ELIO MIGLIORANCA E RENAN ANDRE MIGLIORANCA</v>
      </c>
      <c r="C276" t="str">
        <f>'DASE DADOS - DISTANCIA'!C276</f>
        <v xml:space="preserve"> A1</v>
      </c>
      <c r="D276" t="str">
        <f>'DASE DADOS - DISTANCIA'!E276</f>
        <v>NOVA SANTA ROSA</v>
      </c>
      <c r="E276" t="str">
        <f>'DASE DADOS - DISTANCIA'!I276</f>
        <v>PLUMA</v>
      </c>
      <c r="F276" s="7">
        <v>106</v>
      </c>
      <c r="G276">
        <f>'DASE DADOS - DISTANCIA'!J276</f>
        <v>212</v>
      </c>
      <c r="H276" s="2">
        <v>420</v>
      </c>
      <c r="I276" s="2" t="e">
        <f>IF(#REF!&lt;17200,DISTÂNCIA3[[#This Row],[KM PARA PAGAMENTO DOS FRETES]]*4.74,((#REF!/17200)*4.74)*DISTÂNCIA3[[#This Row],[KM PARA PAGAMENTO DOS FRETES]])</f>
        <v>#REF!</v>
      </c>
      <c r="J276" s="4">
        <f>DISTÂNCIA3[[#This Row],[Valor CTE]]/DISTÂNCIA3[[#This Row],[KM PARA PAGAMENTO DOS FRETES]]</f>
        <v>5.3120283018867926</v>
      </c>
      <c r="K276" s="6">
        <f t="shared" si="12"/>
        <v>679.71</v>
      </c>
      <c r="L276" s="6">
        <f>0.92*DISTÂNCIA3[[#This Row],[KM distancia]]*4.578</f>
        <v>446.44656000000009</v>
      </c>
      <c r="M276" s="6">
        <f t="shared" si="13"/>
        <v>1126.1500000000001</v>
      </c>
    </row>
    <row r="277" spans="1:13" hidden="1" x14ac:dyDescent="0.35">
      <c r="A277">
        <f>'DASE DADOS - DISTANCIA'!A277</f>
        <v>30474</v>
      </c>
      <c r="B277" t="str">
        <f>'DASE DADOS - DISTANCIA'!B277</f>
        <v>NOLI PALAVER</v>
      </c>
      <c r="C277" t="str">
        <f>'DASE DADOS - DISTANCIA'!C277</f>
        <v xml:space="preserve"> A1</v>
      </c>
      <c r="D277" t="str">
        <f>'DASE DADOS - DISTANCIA'!E277</f>
        <v>PLANALTO</v>
      </c>
      <c r="E277" t="str">
        <f>'DASE DADOS - DISTANCIA'!I277</f>
        <v>PLUSVAL</v>
      </c>
      <c r="F277" s="7">
        <v>117</v>
      </c>
      <c r="G277">
        <f>'DASE DADOS - DISTANCIA'!J277</f>
        <v>234</v>
      </c>
      <c r="H277" s="2">
        <v>420</v>
      </c>
      <c r="I277" s="2" t="e">
        <f>IF(#REF!&lt;17200,DISTÂNCIA3[[#This Row],[KM PARA PAGAMENTO DOS FRETES]]*4.74,((#REF!/17200)*4.74)*DISTÂNCIA3[[#This Row],[KM PARA PAGAMENTO DOS FRETES]])</f>
        <v>#REF!</v>
      </c>
      <c r="J277" s="4">
        <f>DISTÂNCIA3[[#This Row],[Valor CTE]]/DISTÂNCIA3[[#This Row],[KM PARA PAGAMENTO DOS FRETES]]</f>
        <v>5.2258119658119657</v>
      </c>
      <c r="K277" s="6">
        <f t="shared" si="12"/>
        <v>730.07</v>
      </c>
      <c r="L277" s="6">
        <f>0.92*DISTÂNCIA3[[#This Row],[KM distancia]]*4.578</f>
        <v>492.77592000000004</v>
      </c>
      <c r="M277" s="6">
        <f t="shared" si="13"/>
        <v>1222.8399999999999</v>
      </c>
    </row>
    <row r="278" spans="1:13" hidden="1" x14ac:dyDescent="0.35">
      <c r="A278">
        <f>'DASE DADOS - DISTANCIA'!A278</f>
        <v>5649080</v>
      </c>
      <c r="B278" t="str">
        <f>'DASE DADOS - DISTANCIA'!B278</f>
        <v>ELIO MIGLIORANCA E RENAN ANDRE MIGLIORANCA</v>
      </c>
      <c r="C278" t="str">
        <f>'DASE DADOS - DISTANCIA'!C278</f>
        <v xml:space="preserve"> A2</v>
      </c>
      <c r="D278" t="str">
        <f>'DASE DADOS - DISTANCIA'!E278</f>
        <v>NOVA SANTA ROSA</v>
      </c>
      <c r="E278" t="str">
        <f>'DASE DADOS - DISTANCIA'!I278</f>
        <v>PLUMA</v>
      </c>
      <c r="F278" s="7">
        <v>106</v>
      </c>
      <c r="G278">
        <f>'DASE DADOS - DISTANCIA'!J278</f>
        <v>212</v>
      </c>
      <c r="H278" s="2">
        <v>420</v>
      </c>
      <c r="I278" s="2" t="e">
        <f>IF(#REF!&lt;17200,DISTÂNCIA3[[#This Row],[KM PARA PAGAMENTO DOS FRETES]]*4.74,((#REF!/17200)*4.74)*DISTÂNCIA3[[#This Row],[KM PARA PAGAMENTO DOS FRETES]])</f>
        <v>#REF!</v>
      </c>
      <c r="J278" s="4">
        <f>DISTÂNCIA3[[#This Row],[Valor CTE]]/DISTÂNCIA3[[#This Row],[KM PARA PAGAMENTO DOS FRETES]]</f>
        <v>5.3120283018867926</v>
      </c>
      <c r="K278" s="6">
        <f t="shared" si="12"/>
        <v>679.71</v>
      </c>
      <c r="L278" s="6">
        <f>0.92*DISTÂNCIA3[[#This Row],[KM distancia]]*4.578</f>
        <v>446.44656000000009</v>
      </c>
      <c r="M278" s="6">
        <f t="shared" si="13"/>
        <v>1126.1500000000001</v>
      </c>
    </row>
    <row r="279" spans="1:13" hidden="1" x14ac:dyDescent="0.35">
      <c r="A279">
        <f>'DASE DADOS - DISTANCIA'!A279</f>
        <v>30665</v>
      </c>
      <c r="B279" t="str">
        <f>'DASE DADOS - DISTANCIA'!B279</f>
        <v>ODAIR MENEGON</v>
      </c>
      <c r="C279" t="str">
        <f>'DASE DADOS - DISTANCIA'!C279</f>
        <v xml:space="preserve"> A2</v>
      </c>
      <c r="D279" t="str">
        <f>'DASE DADOS - DISTANCIA'!E279</f>
        <v>SANTA LÚCIA</v>
      </c>
      <c r="E279" t="str">
        <f>'DASE DADOS - DISTANCIA'!I279</f>
        <v>PLUSVAL</v>
      </c>
      <c r="F279" s="7">
        <v>61</v>
      </c>
      <c r="G279">
        <f>'DASE DADOS - DISTANCIA'!J279</f>
        <v>122</v>
      </c>
      <c r="H279" s="2">
        <v>420</v>
      </c>
      <c r="I279" s="2" t="e">
        <f>IF(#REF!&lt;17200,DISTÂNCIA3[[#This Row],[KM PARA PAGAMENTO DOS FRETES]]*4.74,((#REF!/17200)*4.74)*DISTÂNCIA3[[#This Row],[KM PARA PAGAMENTO DOS FRETES]])</f>
        <v>#REF!</v>
      </c>
      <c r="J279" s="4">
        <f>DISTÂNCIA3[[#This Row],[Valor CTE]]/DISTÂNCIA3[[#This Row],[KM PARA PAGAMENTO DOS FRETES]]</f>
        <v>5.988688524590164</v>
      </c>
      <c r="K279" s="6">
        <f t="shared" si="12"/>
        <v>473.7</v>
      </c>
      <c r="L279" s="6">
        <f>0.92*DISTÂNCIA3[[#This Row],[KM distancia]]*4.578</f>
        <v>256.91736000000003</v>
      </c>
      <c r="M279" s="6">
        <f t="shared" si="13"/>
        <v>730.62</v>
      </c>
    </row>
    <row r="280" spans="1:13" hidden="1" x14ac:dyDescent="0.35">
      <c r="A280">
        <f>'DASE DADOS - DISTANCIA'!A280</f>
        <v>30665</v>
      </c>
      <c r="B280" t="str">
        <f>'DASE DADOS - DISTANCIA'!B280</f>
        <v>ODAIR MENEGON</v>
      </c>
      <c r="C280" t="str">
        <f>'DASE DADOS - DISTANCIA'!C280</f>
        <v xml:space="preserve"> A1</v>
      </c>
      <c r="D280" t="str">
        <f>'DASE DADOS - DISTANCIA'!E280</f>
        <v>SANTA LÚCIA</v>
      </c>
      <c r="E280" t="str">
        <f>'DASE DADOS - DISTANCIA'!I280</f>
        <v>PLUSVAL</v>
      </c>
      <c r="F280" s="7">
        <v>61</v>
      </c>
      <c r="G280">
        <f>'DASE DADOS - DISTANCIA'!J280</f>
        <v>122</v>
      </c>
      <c r="H280" s="2">
        <v>420</v>
      </c>
      <c r="I280" s="2" t="e">
        <f>IF(#REF!&lt;17200,DISTÂNCIA3[[#This Row],[KM PARA PAGAMENTO DOS FRETES]]*4.74,((#REF!/17200)*4.74)*DISTÂNCIA3[[#This Row],[KM PARA PAGAMENTO DOS FRETES]])</f>
        <v>#REF!</v>
      </c>
      <c r="J280" s="4">
        <f>DISTÂNCIA3[[#This Row],[Valor CTE]]/DISTÂNCIA3[[#This Row],[KM PARA PAGAMENTO DOS FRETES]]</f>
        <v>5.988688524590164</v>
      </c>
      <c r="K280" s="6">
        <f t="shared" si="12"/>
        <v>473.7</v>
      </c>
      <c r="L280" s="6">
        <f>0.92*DISTÂNCIA3[[#This Row],[KM distancia]]*4.578</f>
        <v>256.91736000000003</v>
      </c>
      <c r="M280" s="6">
        <f t="shared" si="13"/>
        <v>730.62</v>
      </c>
    </row>
    <row r="281" spans="1:13" hidden="1" x14ac:dyDescent="0.35">
      <c r="A281">
        <f>'DASE DADOS - DISTANCIA'!A281</f>
        <v>44861</v>
      </c>
      <c r="B281" t="str">
        <f>'DASE DADOS - DISTANCIA'!B281</f>
        <v>RAFAEL LUFT</v>
      </c>
      <c r="C281" t="str">
        <f>'DASE DADOS - DISTANCIA'!C281</f>
        <v xml:space="preserve"> A1</v>
      </c>
      <c r="D281" t="str">
        <f>'DASE DADOS - DISTANCIA'!E281</f>
        <v>CAPANEMA</v>
      </c>
      <c r="E281" t="str">
        <f>'DASE DADOS - DISTANCIA'!I281</f>
        <v>PLUSVAL</v>
      </c>
      <c r="F281" s="7">
        <v>123</v>
      </c>
      <c r="G281">
        <f>'DASE DADOS - DISTANCIA'!J281</f>
        <v>246</v>
      </c>
      <c r="H281" s="2">
        <v>420</v>
      </c>
      <c r="I281" s="2" t="e">
        <f>IF(#REF!&lt;17200,DISTÂNCIA3[[#This Row],[KM PARA PAGAMENTO DOS FRETES]]*4.74,((#REF!/17200)*4.74)*DISTÂNCIA3[[#This Row],[KM PARA PAGAMENTO DOS FRETES]])</f>
        <v>#REF!</v>
      </c>
      <c r="J281" s="4">
        <f>DISTÂNCIA3[[#This Row],[Valor CTE]]/DISTÂNCIA3[[#This Row],[KM PARA PAGAMENTO DOS FRETES]]</f>
        <v>5.1852845528455278</v>
      </c>
      <c r="K281" s="6">
        <f t="shared" si="12"/>
        <v>757.53</v>
      </c>
      <c r="L281" s="6">
        <f>0.92*DISTÂNCIA3[[#This Row],[KM distancia]]*4.578</f>
        <v>518.04648000000009</v>
      </c>
      <c r="M281" s="6">
        <f t="shared" si="13"/>
        <v>1275.58</v>
      </c>
    </row>
    <row r="282" spans="1:13" hidden="1" x14ac:dyDescent="0.35">
      <c r="A282">
        <f>'DASE DADOS - DISTANCIA'!A282</f>
        <v>30084</v>
      </c>
      <c r="B282" t="str">
        <f>'DASE DADOS - DISTANCIA'!B282</f>
        <v>ROMALDO DE OLIVEIRA</v>
      </c>
      <c r="C282" t="str">
        <f>'DASE DADOS - DISTANCIA'!C282</f>
        <v xml:space="preserve"> A3</v>
      </c>
      <c r="D282" t="str">
        <f>'DASE DADOS - DISTANCIA'!E282</f>
        <v>PLANALTO</v>
      </c>
      <c r="E282" t="str">
        <f>'DASE DADOS - DISTANCIA'!I282</f>
        <v>PLUSVAL</v>
      </c>
      <c r="F282" s="7">
        <v>124</v>
      </c>
      <c r="G282">
        <f>'DASE DADOS - DISTANCIA'!J282</f>
        <v>248</v>
      </c>
      <c r="H282" s="2">
        <v>420</v>
      </c>
      <c r="I282" s="2" t="e">
        <f>IF(#REF!&lt;17200,DISTÂNCIA3[[#This Row],[KM PARA PAGAMENTO DOS FRETES]]*4.74,((#REF!/17200)*4.74)*DISTÂNCIA3[[#This Row],[KM PARA PAGAMENTO DOS FRETES]])</f>
        <v>#REF!</v>
      </c>
      <c r="J282" s="4">
        <f>DISTÂNCIA3[[#This Row],[Valor CTE]]/DISTÂNCIA3[[#This Row],[KM PARA PAGAMENTO DOS FRETES]]</f>
        <v>5.1789112903225805</v>
      </c>
      <c r="K282" s="6">
        <f t="shared" si="12"/>
        <v>762.11</v>
      </c>
      <c r="L282" s="6">
        <f>0.92*DISTÂNCIA3[[#This Row],[KM distancia]]*4.578</f>
        <v>522.25824</v>
      </c>
      <c r="M282" s="6">
        <f t="shared" si="13"/>
        <v>1284.3699999999999</v>
      </c>
    </row>
    <row r="283" spans="1:13" hidden="1" x14ac:dyDescent="0.35">
      <c r="A283">
        <f>'DASE DADOS - DISTANCIA'!A283</f>
        <v>5701775</v>
      </c>
      <c r="B283" t="str">
        <f>'DASE DADOS - DISTANCIA'!B283</f>
        <v>ENEDIR MENDES DA SILVA</v>
      </c>
      <c r="C283" t="str">
        <f>'DASE DADOS - DISTANCIA'!C283</f>
        <v xml:space="preserve"> A1</v>
      </c>
      <c r="D283" t="str">
        <f>'DASE DADOS - DISTANCIA'!E283</f>
        <v>CASCAVEL</v>
      </c>
      <c r="E283" t="str">
        <f>'DASE DADOS - DISTANCIA'!I283</f>
        <v>PLUMA</v>
      </c>
      <c r="F283" s="7">
        <v>14</v>
      </c>
      <c r="G283">
        <f>'DASE DADOS - DISTANCIA'!J283</f>
        <v>28</v>
      </c>
      <c r="H283" s="2">
        <v>420</v>
      </c>
      <c r="I283" s="2" t="e">
        <f>IF(#REF!&lt;17200,DISTÂNCIA3[[#This Row],[KM PARA PAGAMENTO DOS FRETES]]*4.74,((#REF!/17200)*4.74)*DISTÂNCIA3[[#This Row],[KM PARA PAGAMENTO DOS FRETES]])</f>
        <v>#REF!</v>
      </c>
      <c r="J283" s="4">
        <f>DISTÂNCIA3[[#This Row],[Valor CTE]]/DISTÂNCIA3[[#This Row],[KM PARA PAGAMENTO DOS FRETES]]</f>
        <v>11.339285714285714</v>
      </c>
      <c r="K283" s="6">
        <f t="shared" si="12"/>
        <v>258.52999999999997</v>
      </c>
      <c r="L283" s="6">
        <f>0.92*DISTÂNCIA3[[#This Row],[KM distancia]]*4.578</f>
        <v>58.96464000000001</v>
      </c>
      <c r="M283" s="6">
        <f t="shared" si="13"/>
        <v>317.5</v>
      </c>
    </row>
    <row r="284" spans="1:13" hidden="1" x14ac:dyDescent="0.35">
      <c r="A284">
        <f>'DASE DADOS - DISTANCIA'!A284</f>
        <v>30084</v>
      </c>
      <c r="B284" t="str">
        <f>'DASE DADOS - DISTANCIA'!B284</f>
        <v>ROMALDO DE OLIVEIRA</v>
      </c>
      <c r="C284" t="str">
        <f>'DASE DADOS - DISTANCIA'!C284</f>
        <v xml:space="preserve"> A2</v>
      </c>
      <c r="D284" t="str">
        <f>'DASE DADOS - DISTANCIA'!E284</f>
        <v>PLANALTO</v>
      </c>
      <c r="E284" t="str">
        <f>'DASE DADOS - DISTANCIA'!I284</f>
        <v>PLUSVAL</v>
      </c>
      <c r="F284" s="7">
        <v>124</v>
      </c>
      <c r="G284">
        <f>'DASE DADOS - DISTANCIA'!J284</f>
        <v>248</v>
      </c>
      <c r="H284" s="2">
        <v>420</v>
      </c>
      <c r="I284" s="2" t="e">
        <f>IF(#REF!&lt;17200,DISTÂNCIA3[[#This Row],[KM PARA PAGAMENTO DOS FRETES]]*4.74,((#REF!/17200)*4.74)*DISTÂNCIA3[[#This Row],[KM PARA PAGAMENTO DOS FRETES]])</f>
        <v>#REF!</v>
      </c>
      <c r="J284" s="4">
        <f>DISTÂNCIA3[[#This Row],[Valor CTE]]/DISTÂNCIA3[[#This Row],[KM PARA PAGAMENTO DOS FRETES]]</f>
        <v>5.1789112903225805</v>
      </c>
      <c r="K284" s="6">
        <f t="shared" si="12"/>
        <v>762.11</v>
      </c>
      <c r="L284" s="6">
        <f>0.92*DISTÂNCIA3[[#This Row],[KM distancia]]*4.578</f>
        <v>522.25824</v>
      </c>
      <c r="M284" s="6">
        <f t="shared" si="13"/>
        <v>1284.3699999999999</v>
      </c>
    </row>
    <row r="285" spans="1:13" hidden="1" x14ac:dyDescent="0.35">
      <c r="A285">
        <f>'DASE DADOS - DISTANCIA'!A285</f>
        <v>30084</v>
      </c>
      <c r="B285" t="str">
        <f>'DASE DADOS - DISTANCIA'!B285</f>
        <v>ROMALDO DE OLIVEIRA</v>
      </c>
      <c r="C285" t="str">
        <f>'DASE DADOS - DISTANCIA'!C285</f>
        <v xml:space="preserve"> A1</v>
      </c>
      <c r="D285" t="str">
        <f>'DASE DADOS - DISTANCIA'!E285</f>
        <v>PLANALTO</v>
      </c>
      <c r="E285" t="str">
        <f>'DASE DADOS - DISTANCIA'!I285</f>
        <v>PLUSVAL</v>
      </c>
      <c r="F285" s="7">
        <v>124</v>
      </c>
      <c r="G285">
        <f>'DASE DADOS - DISTANCIA'!J285</f>
        <v>248</v>
      </c>
      <c r="H285" s="2">
        <v>420</v>
      </c>
      <c r="I285" s="2" t="e">
        <f>IF(#REF!&lt;17200,DISTÂNCIA3[[#This Row],[KM PARA PAGAMENTO DOS FRETES]]*4.74,((#REF!/17200)*4.74)*DISTÂNCIA3[[#This Row],[KM PARA PAGAMENTO DOS FRETES]])</f>
        <v>#REF!</v>
      </c>
      <c r="J285" s="4">
        <f>DISTÂNCIA3[[#This Row],[Valor CTE]]/DISTÂNCIA3[[#This Row],[KM PARA PAGAMENTO DOS FRETES]]</f>
        <v>5.1789112903225805</v>
      </c>
      <c r="K285" s="6">
        <f t="shared" si="12"/>
        <v>762.11</v>
      </c>
      <c r="L285" s="6">
        <f>0.92*DISTÂNCIA3[[#This Row],[KM distancia]]*4.578</f>
        <v>522.25824</v>
      </c>
      <c r="M285" s="6">
        <f t="shared" si="13"/>
        <v>1284.3699999999999</v>
      </c>
    </row>
    <row r="286" spans="1:13" hidden="1" x14ac:dyDescent="0.35">
      <c r="A286">
        <f>'DASE DADOS - DISTANCIA'!A286</f>
        <v>30461</v>
      </c>
      <c r="B286" t="str">
        <f>'DASE DADOS - DISTANCIA'!B286</f>
        <v>ENIO PANDOLFO</v>
      </c>
      <c r="C286" t="str">
        <f>'DASE DADOS - DISTANCIA'!C286</f>
        <v xml:space="preserve"> A1</v>
      </c>
      <c r="D286" t="str">
        <f>'DASE DADOS - DISTANCIA'!E286</f>
        <v>BOA VISTA DA APARECIDA</v>
      </c>
      <c r="E286" t="str">
        <f>'DASE DADOS - DISTANCIA'!I286</f>
        <v>PLUSVAL</v>
      </c>
      <c r="F286" s="7">
        <v>84</v>
      </c>
      <c r="G286">
        <f>'DASE DADOS - DISTANCIA'!J286</f>
        <v>168</v>
      </c>
      <c r="H286" s="2">
        <v>420</v>
      </c>
      <c r="I286" s="2" t="e">
        <f>IF(#REF!&lt;17200,DISTÂNCIA3[[#This Row],[KM PARA PAGAMENTO DOS FRETES]]*4.74,((#REF!/17200)*4.74)*DISTÂNCIA3[[#This Row],[KM PARA PAGAMENTO DOS FRETES]])</f>
        <v>#REF!</v>
      </c>
      <c r="J286" s="4">
        <f>DISTÂNCIA3[[#This Row],[Valor CTE]]/DISTÂNCIA3[[#This Row],[KM PARA PAGAMENTO DOS FRETES]]</f>
        <v>5.5522619047619042</v>
      </c>
      <c r="K286" s="6">
        <f t="shared" si="12"/>
        <v>578.99</v>
      </c>
      <c r="L286" s="6">
        <f>0.92*DISTÂNCIA3[[#This Row],[KM distancia]]*4.578</f>
        <v>353.78784000000002</v>
      </c>
      <c r="M286" s="6">
        <f t="shared" si="13"/>
        <v>932.78</v>
      </c>
    </row>
    <row r="287" spans="1:13" hidden="1" x14ac:dyDescent="0.35">
      <c r="A287">
        <f>'DASE DADOS - DISTANCIA'!A287</f>
        <v>30027</v>
      </c>
      <c r="B287" t="str">
        <f>'DASE DADOS - DISTANCIA'!B287</f>
        <v>SILVANEO DALL ALBA</v>
      </c>
      <c r="C287" t="str">
        <f>'DASE DADOS - DISTANCIA'!C287</f>
        <v xml:space="preserve"> A1</v>
      </c>
      <c r="D287" t="str">
        <f>'DASE DADOS - DISTANCIA'!E287</f>
        <v>CAPANEMA</v>
      </c>
      <c r="E287" t="str">
        <f>'DASE DADOS - DISTANCIA'!I287</f>
        <v>PLUSVAL</v>
      </c>
      <c r="F287" s="7">
        <v>110</v>
      </c>
      <c r="G287">
        <f>'DASE DADOS - DISTANCIA'!J287</f>
        <v>220</v>
      </c>
      <c r="H287" s="2">
        <v>420</v>
      </c>
      <c r="I287" s="2" t="e">
        <f>IF(#REF!&lt;17200,DISTÂNCIA3[[#This Row],[KM PARA PAGAMENTO DOS FRETES]]*4.74,((#REF!/17200)*4.74)*DISTÂNCIA3[[#This Row],[KM PARA PAGAMENTO DOS FRETES]])</f>
        <v>#REF!</v>
      </c>
      <c r="J287" s="4">
        <f>DISTÂNCIA3[[#This Row],[Valor CTE]]/DISTÂNCIA3[[#This Row],[KM PARA PAGAMENTO DOS FRETES]]</f>
        <v>5.278681818181818</v>
      </c>
      <c r="K287" s="6">
        <f t="shared" si="12"/>
        <v>698.02</v>
      </c>
      <c r="L287" s="6">
        <f>0.92*DISTÂNCIA3[[#This Row],[KM distancia]]*4.578</f>
        <v>463.29360000000003</v>
      </c>
      <c r="M287" s="6">
        <f t="shared" si="13"/>
        <v>1161.31</v>
      </c>
    </row>
    <row r="288" spans="1:13" hidden="1" x14ac:dyDescent="0.35">
      <c r="A288">
        <f>'DASE DADOS - DISTANCIA'!A288</f>
        <v>5612292</v>
      </c>
      <c r="B288" t="str">
        <f>'DASE DADOS - DISTANCIA'!B288</f>
        <v>ENIO ROQUE TREMEA</v>
      </c>
      <c r="C288" t="str">
        <f>'DASE DADOS - DISTANCIA'!C288</f>
        <v xml:space="preserve"> A1</v>
      </c>
      <c r="D288" t="str">
        <f>'DASE DADOS - DISTANCIA'!E288</f>
        <v>TOLEDO</v>
      </c>
      <c r="E288" t="str">
        <f>'DASE DADOS - DISTANCIA'!I288</f>
        <v>PLUMA</v>
      </c>
      <c r="F288" s="7">
        <v>76</v>
      </c>
      <c r="G288">
        <f>'DASE DADOS - DISTANCIA'!J288</f>
        <v>152</v>
      </c>
      <c r="H288" s="2">
        <v>420</v>
      </c>
      <c r="I288" s="2" t="e">
        <f>IF(#REF!&lt;17200,DISTÂNCIA3[[#This Row],[KM PARA PAGAMENTO DOS FRETES]]*4.74,((#REF!/17200)*4.74)*DISTÂNCIA3[[#This Row],[KM PARA PAGAMENTO DOS FRETES]])</f>
        <v>#REF!</v>
      </c>
      <c r="J288" s="4">
        <f>DISTÂNCIA3[[#This Row],[Valor CTE]]/DISTÂNCIA3[[#This Row],[KM PARA PAGAMENTO DOS FRETES]]</f>
        <v>5.6740789473684217</v>
      </c>
      <c r="K288" s="6">
        <f t="shared" si="12"/>
        <v>542.37</v>
      </c>
      <c r="L288" s="6">
        <f>0.92*DISTÂNCIA3[[#This Row],[KM distancia]]*4.578</f>
        <v>320.09376000000003</v>
      </c>
      <c r="M288" s="6">
        <f t="shared" si="13"/>
        <v>862.46</v>
      </c>
    </row>
    <row r="289" spans="1:13" hidden="1" x14ac:dyDescent="0.35">
      <c r="A289">
        <f>'DASE DADOS - DISTANCIA'!A289</f>
        <v>30027</v>
      </c>
      <c r="B289" t="str">
        <f>'DASE DADOS - DISTANCIA'!B289</f>
        <v>SILVANEO DALL ALBA</v>
      </c>
      <c r="C289" t="str">
        <f>'DASE DADOS - DISTANCIA'!C289</f>
        <v xml:space="preserve"> A2</v>
      </c>
      <c r="D289" t="str">
        <f>'DASE DADOS - DISTANCIA'!E289</f>
        <v>CAPANEMA</v>
      </c>
      <c r="E289" t="str">
        <f>'DASE DADOS - DISTANCIA'!I289</f>
        <v>PLUSVAL</v>
      </c>
      <c r="F289" s="7">
        <v>110</v>
      </c>
      <c r="G289">
        <f>'DASE DADOS - DISTANCIA'!J289</f>
        <v>220</v>
      </c>
      <c r="H289" s="2">
        <v>420</v>
      </c>
      <c r="I289" s="2" t="e">
        <f>IF(#REF!&lt;17200,DISTÂNCIA3[[#This Row],[KM PARA PAGAMENTO DOS FRETES]]*4.74,((#REF!/17200)*4.74)*DISTÂNCIA3[[#This Row],[KM PARA PAGAMENTO DOS FRETES]])</f>
        <v>#REF!</v>
      </c>
      <c r="J289" s="4">
        <f>DISTÂNCIA3[[#This Row],[Valor CTE]]/DISTÂNCIA3[[#This Row],[KM PARA PAGAMENTO DOS FRETES]]</f>
        <v>5.278681818181818</v>
      </c>
      <c r="K289" s="6">
        <f t="shared" si="12"/>
        <v>698.02</v>
      </c>
      <c r="L289" s="6">
        <f>0.92*DISTÂNCIA3[[#This Row],[KM distancia]]*4.578</f>
        <v>463.29360000000003</v>
      </c>
      <c r="M289" s="6">
        <f t="shared" si="13"/>
        <v>1161.31</v>
      </c>
    </row>
    <row r="290" spans="1:13" hidden="1" x14ac:dyDescent="0.35">
      <c r="A290">
        <f>'DASE DADOS - DISTANCIA'!A290</f>
        <v>5612292</v>
      </c>
      <c r="B290" t="str">
        <f>'DASE DADOS - DISTANCIA'!B290</f>
        <v>ENIO ROQUE TREMEA</v>
      </c>
      <c r="C290" t="str">
        <f>'DASE DADOS - DISTANCIA'!C290</f>
        <v xml:space="preserve"> A4</v>
      </c>
      <c r="D290" t="str">
        <f>'DASE DADOS - DISTANCIA'!E290</f>
        <v>TOLEDO</v>
      </c>
      <c r="E290" t="str">
        <f>'DASE DADOS - DISTANCIA'!I290</f>
        <v>PLUMA</v>
      </c>
      <c r="F290" s="7">
        <v>76</v>
      </c>
      <c r="G290">
        <f>'DASE DADOS - DISTANCIA'!J290</f>
        <v>152</v>
      </c>
      <c r="H290" s="2">
        <v>420</v>
      </c>
      <c r="I290" s="2" t="e">
        <f>IF(#REF!&lt;17200,DISTÂNCIA3[[#This Row],[KM PARA PAGAMENTO DOS FRETES]]*4.74,((#REF!/17200)*4.74)*DISTÂNCIA3[[#This Row],[KM PARA PAGAMENTO DOS FRETES]])</f>
        <v>#REF!</v>
      </c>
      <c r="J290" s="4">
        <f>DISTÂNCIA3[[#This Row],[Valor CTE]]/DISTÂNCIA3[[#This Row],[KM PARA PAGAMENTO DOS FRETES]]</f>
        <v>5.6740789473684217</v>
      </c>
      <c r="K290" s="6">
        <f t="shared" si="12"/>
        <v>542.37</v>
      </c>
      <c r="L290" s="6">
        <f>0.92*DISTÂNCIA3[[#This Row],[KM distancia]]*4.578</f>
        <v>320.09376000000003</v>
      </c>
      <c r="M290" s="6">
        <f t="shared" si="13"/>
        <v>862.46</v>
      </c>
    </row>
    <row r="291" spans="1:13" hidden="1" x14ac:dyDescent="0.35">
      <c r="A291">
        <f>'DASE DADOS - DISTANCIA'!A291</f>
        <v>29427</v>
      </c>
      <c r="B291" t="str">
        <f>'DASE DADOS - DISTANCIA'!B291</f>
        <v>SILVIA MARIA SAUTER BAYERLE</v>
      </c>
      <c r="C291" t="str">
        <f>'DASE DADOS - DISTANCIA'!C291</f>
        <v xml:space="preserve"> A2</v>
      </c>
      <c r="D291" t="str">
        <f>'DASE DADOS - DISTANCIA'!E291</f>
        <v>CAPANEMA</v>
      </c>
      <c r="E291" t="str">
        <f>'DASE DADOS - DISTANCIA'!I291</f>
        <v>PLUSVAL</v>
      </c>
      <c r="F291" s="7">
        <v>108</v>
      </c>
      <c r="G291">
        <f>'DASE DADOS - DISTANCIA'!J291</f>
        <v>216</v>
      </c>
      <c r="H291" s="2">
        <v>420</v>
      </c>
      <c r="I291" s="2" t="e">
        <f>IF(#REF!&lt;17200,DISTÂNCIA3[[#This Row],[KM PARA PAGAMENTO DOS FRETES]]*4.74,((#REF!/17200)*4.74)*DISTÂNCIA3[[#This Row],[KM PARA PAGAMENTO DOS FRETES]])</f>
        <v>#REF!</v>
      </c>
      <c r="J291" s="4">
        <f>DISTÂNCIA3[[#This Row],[Valor CTE]]/DISTÂNCIA3[[#This Row],[KM PARA PAGAMENTO DOS FRETES]]</f>
        <v>5.2950462962962961</v>
      </c>
      <c r="K291" s="6">
        <f t="shared" si="12"/>
        <v>688.86</v>
      </c>
      <c r="L291" s="6">
        <f>0.92*DISTÂNCIA3[[#This Row],[KM distancia]]*4.578</f>
        <v>454.87008000000003</v>
      </c>
      <c r="M291" s="6">
        <f t="shared" si="13"/>
        <v>1143.73</v>
      </c>
    </row>
    <row r="292" spans="1:13" hidden="1" x14ac:dyDescent="0.35">
      <c r="A292">
        <f>'DASE DADOS - DISTANCIA'!A292</f>
        <v>5612292</v>
      </c>
      <c r="B292" t="str">
        <f>'DASE DADOS - DISTANCIA'!B292</f>
        <v>ENIO ROQUE TREMEA</v>
      </c>
      <c r="C292" t="str">
        <f>'DASE DADOS - DISTANCIA'!C292</f>
        <v xml:space="preserve"> A2</v>
      </c>
      <c r="D292" t="str">
        <f>'DASE DADOS - DISTANCIA'!E292</f>
        <v>TOLEDO</v>
      </c>
      <c r="E292" t="str">
        <f>'DASE DADOS - DISTANCIA'!I292</f>
        <v>PLUMA</v>
      </c>
      <c r="F292" s="7">
        <v>76</v>
      </c>
      <c r="G292">
        <f>'DASE DADOS - DISTANCIA'!J292</f>
        <v>152</v>
      </c>
      <c r="H292" s="2">
        <v>420</v>
      </c>
      <c r="I292" s="2" t="e">
        <f>IF(#REF!&lt;17200,DISTÂNCIA3[[#This Row],[KM PARA PAGAMENTO DOS FRETES]]*4.74,((#REF!/17200)*4.74)*DISTÂNCIA3[[#This Row],[KM PARA PAGAMENTO DOS FRETES]])</f>
        <v>#REF!</v>
      </c>
      <c r="J292" s="4">
        <f>DISTÂNCIA3[[#This Row],[Valor CTE]]/DISTÂNCIA3[[#This Row],[KM PARA PAGAMENTO DOS FRETES]]</f>
        <v>5.6740789473684217</v>
      </c>
      <c r="K292" s="6">
        <f t="shared" si="12"/>
        <v>542.37</v>
      </c>
      <c r="L292" s="6">
        <f>0.92*DISTÂNCIA3[[#This Row],[KM distancia]]*4.578</f>
        <v>320.09376000000003</v>
      </c>
      <c r="M292" s="6">
        <f t="shared" si="13"/>
        <v>862.46</v>
      </c>
    </row>
    <row r="293" spans="1:13" hidden="1" x14ac:dyDescent="0.35">
      <c r="A293">
        <f>'DASE DADOS - DISTANCIA'!A293</f>
        <v>29427</v>
      </c>
      <c r="B293" t="str">
        <f>'DASE DADOS - DISTANCIA'!B293</f>
        <v>SILVIA MARIA SAUTER BAYERLE</v>
      </c>
      <c r="C293" t="str">
        <f>'DASE DADOS - DISTANCIA'!C293</f>
        <v xml:space="preserve"> A1</v>
      </c>
      <c r="D293" t="str">
        <f>'DASE DADOS - DISTANCIA'!E293</f>
        <v>CAPANEMA</v>
      </c>
      <c r="E293" t="str">
        <f>'DASE DADOS - DISTANCIA'!I293</f>
        <v>PLUSVAL</v>
      </c>
      <c r="F293" s="7">
        <v>108</v>
      </c>
      <c r="G293">
        <f>'DASE DADOS - DISTANCIA'!J293</f>
        <v>216</v>
      </c>
      <c r="H293" s="2">
        <v>420</v>
      </c>
      <c r="I293" s="2" t="e">
        <f>IF(#REF!&lt;17200,DISTÂNCIA3[[#This Row],[KM PARA PAGAMENTO DOS FRETES]]*4.74,((#REF!/17200)*4.74)*DISTÂNCIA3[[#This Row],[KM PARA PAGAMENTO DOS FRETES]])</f>
        <v>#REF!</v>
      </c>
      <c r="J293" s="4">
        <f>DISTÂNCIA3[[#This Row],[Valor CTE]]/DISTÂNCIA3[[#This Row],[KM PARA PAGAMENTO DOS FRETES]]</f>
        <v>5.2950462962962961</v>
      </c>
      <c r="K293" s="6">
        <f t="shared" si="12"/>
        <v>688.86</v>
      </c>
      <c r="L293" s="6">
        <f>0.92*DISTÂNCIA3[[#This Row],[KM distancia]]*4.578</f>
        <v>454.87008000000003</v>
      </c>
      <c r="M293" s="6">
        <f t="shared" si="13"/>
        <v>1143.73</v>
      </c>
    </row>
    <row r="294" spans="1:13" hidden="1" x14ac:dyDescent="0.35">
      <c r="A294">
        <f>'DASE DADOS - DISTANCIA'!A294</f>
        <v>5612292</v>
      </c>
      <c r="B294" t="str">
        <f>'DASE DADOS - DISTANCIA'!B294</f>
        <v>ENIO ROQUE TREMEA</v>
      </c>
      <c r="C294" t="str">
        <f>'DASE DADOS - DISTANCIA'!C294</f>
        <v xml:space="preserve"> A3</v>
      </c>
      <c r="D294" t="str">
        <f>'DASE DADOS - DISTANCIA'!E294</f>
        <v>TOLEDO</v>
      </c>
      <c r="E294" t="str">
        <f>'DASE DADOS - DISTANCIA'!I294</f>
        <v>PLUMA</v>
      </c>
      <c r="F294" s="7">
        <v>76</v>
      </c>
      <c r="G294">
        <f>'DASE DADOS - DISTANCIA'!J294</f>
        <v>152</v>
      </c>
      <c r="H294" s="2">
        <v>420</v>
      </c>
      <c r="I294" s="2" t="e">
        <f>IF(#REF!&lt;17200,DISTÂNCIA3[[#This Row],[KM PARA PAGAMENTO DOS FRETES]]*4.74,((#REF!/17200)*4.74)*DISTÂNCIA3[[#This Row],[KM PARA PAGAMENTO DOS FRETES]])</f>
        <v>#REF!</v>
      </c>
      <c r="J294" s="4">
        <f>DISTÂNCIA3[[#This Row],[Valor CTE]]/DISTÂNCIA3[[#This Row],[KM PARA PAGAMENTO DOS FRETES]]</f>
        <v>5.6740789473684217</v>
      </c>
      <c r="K294" s="6">
        <f t="shared" si="12"/>
        <v>542.37</v>
      </c>
      <c r="L294" s="6">
        <f>0.92*DISTÂNCIA3[[#This Row],[KM distancia]]*4.578</f>
        <v>320.09376000000003</v>
      </c>
      <c r="M294" s="6">
        <f t="shared" si="13"/>
        <v>862.46</v>
      </c>
    </row>
    <row r="295" spans="1:13" hidden="1" x14ac:dyDescent="0.35">
      <c r="A295">
        <f>'DASE DADOS - DISTANCIA'!A295</f>
        <v>30351</v>
      </c>
      <c r="B295" t="str">
        <f>'DASE DADOS - DISTANCIA'!B295</f>
        <v>TERESINHA RAMIRES</v>
      </c>
      <c r="C295" t="str">
        <f>'DASE DADOS - DISTANCIA'!C295</f>
        <v xml:space="preserve"> A1</v>
      </c>
      <c r="D295" t="str">
        <f>'DASE DADOS - DISTANCIA'!E295</f>
        <v>CAPANEMA</v>
      </c>
      <c r="E295" t="str">
        <f>'DASE DADOS - DISTANCIA'!I295</f>
        <v>PLUSVAL</v>
      </c>
      <c r="F295" s="7">
        <v>108</v>
      </c>
      <c r="G295">
        <f>'DASE DADOS - DISTANCIA'!J295</f>
        <v>216</v>
      </c>
      <c r="H295" s="2">
        <v>420</v>
      </c>
      <c r="I295" s="2" t="e">
        <f>IF(#REF!&lt;17200,DISTÂNCIA3[[#This Row],[KM PARA PAGAMENTO DOS FRETES]]*4.74,((#REF!/17200)*4.74)*DISTÂNCIA3[[#This Row],[KM PARA PAGAMENTO DOS FRETES]])</f>
        <v>#REF!</v>
      </c>
      <c r="J295" s="4">
        <f>DISTÂNCIA3[[#This Row],[Valor CTE]]/DISTÂNCIA3[[#This Row],[KM PARA PAGAMENTO DOS FRETES]]</f>
        <v>5.2950462962962961</v>
      </c>
      <c r="K295" s="6">
        <f t="shared" si="12"/>
        <v>688.86</v>
      </c>
      <c r="L295" s="6">
        <f>0.92*DISTÂNCIA3[[#This Row],[KM distancia]]*4.578</f>
        <v>454.87008000000003</v>
      </c>
      <c r="M295" s="6">
        <f t="shared" si="13"/>
        <v>1143.73</v>
      </c>
    </row>
    <row r="296" spans="1:13" hidden="1" x14ac:dyDescent="0.35">
      <c r="A296">
        <f>'DASE DADOS - DISTANCIA'!A296</f>
        <v>30351</v>
      </c>
      <c r="B296" t="str">
        <f>'DASE DADOS - DISTANCIA'!B296</f>
        <v>TERESINHA RAMIRES</v>
      </c>
      <c r="C296" t="str">
        <f>'DASE DADOS - DISTANCIA'!C296</f>
        <v xml:space="preserve"> A2</v>
      </c>
      <c r="D296" t="str">
        <f>'DASE DADOS - DISTANCIA'!E296</f>
        <v>CAPANEMA</v>
      </c>
      <c r="E296" t="str">
        <f>'DASE DADOS - DISTANCIA'!I296</f>
        <v>PLUSVAL</v>
      </c>
      <c r="F296" s="7">
        <v>108</v>
      </c>
      <c r="G296">
        <f>'DASE DADOS - DISTANCIA'!J296</f>
        <v>216</v>
      </c>
      <c r="H296" s="2">
        <v>420</v>
      </c>
      <c r="I296" s="2" t="e">
        <f>IF(#REF!&lt;17200,DISTÂNCIA3[[#This Row],[KM PARA PAGAMENTO DOS FRETES]]*4.74,((#REF!/17200)*4.74)*DISTÂNCIA3[[#This Row],[KM PARA PAGAMENTO DOS FRETES]])</f>
        <v>#REF!</v>
      </c>
      <c r="J296" s="4">
        <f>DISTÂNCIA3[[#This Row],[Valor CTE]]/DISTÂNCIA3[[#This Row],[KM PARA PAGAMENTO DOS FRETES]]</f>
        <v>5.2950462962962961</v>
      </c>
      <c r="K296" s="6">
        <f t="shared" si="12"/>
        <v>688.86</v>
      </c>
      <c r="L296" s="6">
        <f>0.92*DISTÂNCIA3[[#This Row],[KM distancia]]*4.578</f>
        <v>454.87008000000003</v>
      </c>
      <c r="M296" s="6">
        <f t="shared" si="13"/>
        <v>1143.73</v>
      </c>
    </row>
    <row r="297" spans="1:13" hidden="1" x14ac:dyDescent="0.35">
      <c r="A297">
        <f>'DASE DADOS - DISTANCIA'!A297</f>
        <v>828181</v>
      </c>
      <c r="B297" t="str">
        <f>'DASE DADOS - DISTANCIA'!B297</f>
        <v>TEREZINHA BOEING BAYERLE</v>
      </c>
      <c r="C297" t="str">
        <f>'DASE DADOS - DISTANCIA'!C297</f>
        <v xml:space="preserve"> A1</v>
      </c>
      <c r="D297" t="str">
        <f>'DASE DADOS - DISTANCIA'!E297</f>
        <v>CAPANEMA</v>
      </c>
      <c r="E297" t="str">
        <f>'DASE DADOS - DISTANCIA'!I297</f>
        <v>PLUSVAL</v>
      </c>
      <c r="F297" s="7">
        <v>123</v>
      </c>
      <c r="G297">
        <f>'DASE DADOS - DISTANCIA'!J297</f>
        <v>246</v>
      </c>
      <c r="H297" s="2">
        <v>420</v>
      </c>
      <c r="I297" s="2" t="e">
        <f>IF(#REF!&lt;17200,DISTÂNCIA3[[#This Row],[KM PARA PAGAMENTO DOS FRETES]]*4.74,((#REF!/17200)*4.74)*DISTÂNCIA3[[#This Row],[KM PARA PAGAMENTO DOS FRETES]])</f>
        <v>#REF!</v>
      </c>
      <c r="J297" s="4">
        <f>DISTÂNCIA3[[#This Row],[Valor CTE]]/DISTÂNCIA3[[#This Row],[KM PARA PAGAMENTO DOS FRETES]]</f>
        <v>5.1852845528455278</v>
      </c>
      <c r="K297" s="6">
        <f t="shared" si="12"/>
        <v>757.53</v>
      </c>
      <c r="L297" s="6">
        <f>0.92*DISTÂNCIA3[[#This Row],[KM distancia]]*4.578</f>
        <v>518.04648000000009</v>
      </c>
      <c r="M297" s="6">
        <f t="shared" si="13"/>
        <v>1275.58</v>
      </c>
    </row>
    <row r="298" spans="1:13" hidden="1" x14ac:dyDescent="0.35">
      <c r="A298">
        <f>'DASE DADOS - DISTANCIA'!A298</f>
        <v>29971</v>
      </c>
      <c r="B298" t="str">
        <f>'DASE DADOS - DISTANCIA'!B298</f>
        <v>TIAGO ROSO</v>
      </c>
      <c r="C298" t="str">
        <f>'DASE DADOS - DISTANCIA'!C298</f>
        <v xml:space="preserve"> A1</v>
      </c>
      <c r="D298" t="str">
        <f>'DASE DADOS - DISTANCIA'!E298</f>
        <v>CAPANEMA</v>
      </c>
      <c r="E298" t="str">
        <f>'DASE DADOS - DISTANCIA'!I298</f>
        <v>PLUSVAL</v>
      </c>
      <c r="F298" s="7">
        <v>122</v>
      </c>
      <c r="G298">
        <f>'DASE DADOS - DISTANCIA'!J298</f>
        <v>244</v>
      </c>
      <c r="H298" s="2">
        <v>420</v>
      </c>
      <c r="I298" s="2" t="e">
        <f>IF(#REF!&lt;17200,DISTÂNCIA3[[#This Row],[KM PARA PAGAMENTO DOS FRETES]]*4.74,((#REF!/17200)*4.74)*DISTÂNCIA3[[#This Row],[KM PARA PAGAMENTO DOS FRETES]])</f>
        <v>#REF!</v>
      </c>
      <c r="J298" s="4">
        <f>DISTÂNCIA3[[#This Row],[Valor CTE]]/DISTÂNCIA3[[#This Row],[KM PARA PAGAMENTO DOS FRETES]]</f>
        <v>5.1917622950819666</v>
      </c>
      <c r="K298" s="6">
        <f t="shared" si="12"/>
        <v>752.96</v>
      </c>
      <c r="L298" s="6">
        <f>0.92*DISTÂNCIA3[[#This Row],[KM distancia]]*4.578</f>
        <v>513.83472000000006</v>
      </c>
      <c r="M298" s="6">
        <f t="shared" si="13"/>
        <v>1266.79</v>
      </c>
    </row>
    <row r="299" spans="1:13" hidden="1" x14ac:dyDescent="0.35">
      <c r="A299">
        <f>'DASE DADOS - DISTANCIA'!A299</f>
        <v>29895</v>
      </c>
      <c r="B299" t="str">
        <f>'DASE DADOS - DISTANCIA'!B299</f>
        <v>ERNESTO RUDELL</v>
      </c>
      <c r="C299" t="str">
        <f>'DASE DADOS - DISTANCIA'!C299</f>
        <v xml:space="preserve"> A1</v>
      </c>
      <c r="D299" t="str">
        <f>'DASE DADOS - DISTANCIA'!E299</f>
        <v>CAPANEMA</v>
      </c>
      <c r="E299" t="str">
        <f>'DASE DADOS - DISTANCIA'!I299</f>
        <v>PLUSVAL</v>
      </c>
      <c r="F299" s="7">
        <v>105.5</v>
      </c>
      <c r="G299">
        <f>'DASE DADOS - DISTANCIA'!J299</f>
        <v>211</v>
      </c>
      <c r="H299" s="2">
        <v>420</v>
      </c>
      <c r="I299" s="2" t="e">
        <f>IF(#REF!&lt;17200,DISTÂNCIA3[[#This Row],[KM PARA PAGAMENTO DOS FRETES]]*4.74,((#REF!/17200)*4.74)*DISTÂNCIA3[[#This Row],[KM PARA PAGAMENTO DOS FRETES]])</f>
        <v>#REF!</v>
      </c>
      <c r="J299" s="4">
        <f>DISTÂNCIA3[[#This Row],[Valor CTE]]/DISTÂNCIA3[[#This Row],[KM PARA PAGAMENTO DOS FRETES]]</f>
        <v>5.3163981042654029</v>
      </c>
      <c r="K299" s="6">
        <f t="shared" si="12"/>
        <v>677.42</v>
      </c>
      <c r="L299" s="6">
        <f>0.92*DISTÂNCIA3[[#This Row],[KM distancia]]*4.578</f>
        <v>444.34068000000002</v>
      </c>
      <c r="M299" s="6">
        <f t="shared" si="13"/>
        <v>1121.76</v>
      </c>
    </row>
    <row r="300" spans="1:13" hidden="1" x14ac:dyDescent="0.35">
      <c r="A300">
        <f>'DASE DADOS - DISTANCIA'!A300</f>
        <v>29428</v>
      </c>
      <c r="B300" t="str">
        <f>'DASE DADOS - DISTANCIA'!B300</f>
        <v>VALDECI SOKOLOWSKI</v>
      </c>
      <c r="C300" t="str">
        <f>'DASE DADOS - DISTANCIA'!C300</f>
        <v xml:space="preserve"> A1</v>
      </c>
      <c r="D300" t="str">
        <f>'DASE DADOS - DISTANCIA'!E300</f>
        <v>CAPANEMA</v>
      </c>
      <c r="E300" t="str">
        <f>'DASE DADOS - DISTANCIA'!I300</f>
        <v>PLUSVAL</v>
      </c>
      <c r="F300" s="7">
        <v>110</v>
      </c>
      <c r="G300">
        <f>'DASE DADOS - DISTANCIA'!J300</f>
        <v>220</v>
      </c>
      <c r="H300" s="2">
        <v>420</v>
      </c>
      <c r="I300" s="2" t="e">
        <f>IF(#REF!&lt;17200,DISTÂNCIA3[[#This Row],[KM PARA PAGAMENTO DOS FRETES]]*4.74,((#REF!/17200)*4.74)*DISTÂNCIA3[[#This Row],[KM PARA PAGAMENTO DOS FRETES]])</f>
        <v>#REF!</v>
      </c>
      <c r="J300" s="4">
        <f>DISTÂNCIA3[[#This Row],[Valor CTE]]/DISTÂNCIA3[[#This Row],[KM PARA PAGAMENTO DOS FRETES]]</f>
        <v>5.278681818181818</v>
      </c>
      <c r="K300" s="6">
        <f t="shared" si="12"/>
        <v>698.02</v>
      </c>
      <c r="L300" s="6">
        <f>0.92*DISTÂNCIA3[[#This Row],[KM distancia]]*4.578</f>
        <v>463.29360000000003</v>
      </c>
      <c r="M300" s="6">
        <f t="shared" si="13"/>
        <v>1161.31</v>
      </c>
    </row>
    <row r="301" spans="1:13" hidden="1" x14ac:dyDescent="0.35">
      <c r="A301">
        <f>'DASE DADOS - DISTANCIA'!A301</f>
        <v>6198163</v>
      </c>
      <c r="B301" t="str">
        <f>'DASE DADOS - DISTANCIA'!B301</f>
        <v>ERNO ERENO JUST</v>
      </c>
      <c r="C301" t="str">
        <f>'DASE DADOS - DISTANCIA'!C301</f>
        <v xml:space="preserve"> A1</v>
      </c>
      <c r="D301" t="str">
        <f>'DASE DADOS - DISTANCIA'!E301</f>
        <v>NOVA SANTA ROSA</v>
      </c>
      <c r="E301" t="str">
        <f>'DASE DADOS - DISTANCIA'!I301</f>
        <v>PLUMA</v>
      </c>
      <c r="F301" s="7">
        <v>91.5</v>
      </c>
      <c r="G301">
        <f>'DASE DADOS - DISTANCIA'!J301</f>
        <v>183</v>
      </c>
      <c r="H301" s="2">
        <v>420</v>
      </c>
      <c r="I301" s="2" t="e">
        <f>IF(#REF!&lt;17200,DISTÂNCIA3[[#This Row],[KM PARA PAGAMENTO DOS FRETES]]*4.74,((#REF!/17200)*4.74)*DISTÂNCIA3[[#This Row],[KM PARA PAGAMENTO DOS FRETES]])</f>
        <v>#REF!</v>
      </c>
      <c r="J301" s="4">
        <f>DISTÂNCIA3[[#This Row],[Valor CTE]]/DISTÂNCIA3[[#This Row],[KM PARA PAGAMENTO DOS FRETES]]</f>
        <v>5.4573770491803284</v>
      </c>
      <c r="K301" s="6">
        <f t="shared" si="12"/>
        <v>613.33000000000004</v>
      </c>
      <c r="L301" s="6">
        <f>0.92*DISTÂNCIA3[[#This Row],[KM distancia]]*4.578</f>
        <v>385.37604000000005</v>
      </c>
      <c r="M301" s="6">
        <f t="shared" si="13"/>
        <v>998.7</v>
      </c>
    </row>
    <row r="302" spans="1:13" hidden="1" x14ac:dyDescent="0.35">
      <c r="A302">
        <f>'DASE DADOS - DISTANCIA'!A302</f>
        <v>29428</v>
      </c>
      <c r="B302" t="str">
        <f>'DASE DADOS - DISTANCIA'!B302</f>
        <v>VALDECI SOKOLOWSKI</v>
      </c>
      <c r="C302" t="str">
        <f>'DASE DADOS - DISTANCIA'!C302</f>
        <v xml:space="preserve"> A2</v>
      </c>
      <c r="D302" t="str">
        <f>'DASE DADOS - DISTANCIA'!E302</f>
        <v>CAPANEMA</v>
      </c>
      <c r="E302" t="str">
        <f>'DASE DADOS - DISTANCIA'!I302</f>
        <v>PLUSVAL</v>
      </c>
      <c r="F302" s="7">
        <v>110</v>
      </c>
      <c r="G302">
        <f>'DASE DADOS - DISTANCIA'!J302</f>
        <v>220</v>
      </c>
      <c r="H302" s="2">
        <v>420</v>
      </c>
      <c r="I302" s="2" t="e">
        <f>IF(#REF!&lt;17200,DISTÂNCIA3[[#This Row],[KM PARA PAGAMENTO DOS FRETES]]*4.74,((#REF!/17200)*4.74)*DISTÂNCIA3[[#This Row],[KM PARA PAGAMENTO DOS FRETES]])</f>
        <v>#REF!</v>
      </c>
      <c r="J302" s="4">
        <f>DISTÂNCIA3[[#This Row],[Valor CTE]]/DISTÂNCIA3[[#This Row],[KM PARA PAGAMENTO DOS FRETES]]</f>
        <v>5.278681818181818</v>
      </c>
      <c r="K302" s="6">
        <f t="shared" si="12"/>
        <v>698.02</v>
      </c>
      <c r="L302" s="6">
        <f>0.92*DISTÂNCIA3[[#This Row],[KM distancia]]*4.578</f>
        <v>463.29360000000003</v>
      </c>
      <c r="M302" s="6">
        <f t="shared" si="13"/>
        <v>1161.31</v>
      </c>
    </row>
    <row r="303" spans="1:13" hidden="1" x14ac:dyDescent="0.35">
      <c r="A303">
        <f>'DASE DADOS - DISTANCIA'!A303</f>
        <v>6198163</v>
      </c>
      <c r="B303" t="str">
        <f>'DASE DADOS - DISTANCIA'!B303</f>
        <v>ERNO ERENO JUST</v>
      </c>
      <c r="C303" t="str">
        <f>'DASE DADOS - DISTANCIA'!C303</f>
        <v xml:space="preserve"> A2</v>
      </c>
      <c r="D303" t="str">
        <f>'DASE DADOS - DISTANCIA'!E303</f>
        <v>NOVA SANTA ROSA</v>
      </c>
      <c r="E303" t="str">
        <f>'DASE DADOS - DISTANCIA'!I303</f>
        <v>PLUMA</v>
      </c>
      <c r="F303" s="7">
        <v>91.5</v>
      </c>
      <c r="G303">
        <f>'DASE DADOS - DISTANCIA'!J303</f>
        <v>183</v>
      </c>
      <c r="H303" s="2">
        <v>420</v>
      </c>
      <c r="I303" s="2" t="e">
        <f>IF(#REF!&lt;17200,DISTÂNCIA3[[#This Row],[KM PARA PAGAMENTO DOS FRETES]]*4.74,((#REF!/17200)*4.74)*DISTÂNCIA3[[#This Row],[KM PARA PAGAMENTO DOS FRETES]])</f>
        <v>#REF!</v>
      </c>
      <c r="J303" s="4">
        <f>DISTÂNCIA3[[#This Row],[Valor CTE]]/DISTÂNCIA3[[#This Row],[KM PARA PAGAMENTO DOS FRETES]]</f>
        <v>5.4573770491803284</v>
      </c>
      <c r="K303" s="6">
        <f t="shared" si="12"/>
        <v>613.33000000000004</v>
      </c>
      <c r="L303" s="6">
        <f>0.92*DISTÂNCIA3[[#This Row],[KM distancia]]*4.578</f>
        <v>385.37604000000005</v>
      </c>
      <c r="M303" s="6">
        <f t="shared" si="13"/>
        <v>998.7</v>
      </c>
    </row>
    <row r="304" spans="1:13" hidden="1" x14ac:dyDescent="0.35">
      <c r="A304">
        <f>'DASE DADOS - DISTANCIA'!A304</f>
        <v>29428</v>
      </c>
      <c r="B304" t="str">
        <f>'DASE DADOS - DISTANCIA'!B304</f>
        <v>VALDECI SOKOLOWSKI</v>
      </c>
      <c r="C304" t="str">
        <f>'DASE DADOS - DISTANCIA'!C304</f>
        <v xml:space="preserve"> A3</v>
      </c>
      <c r="D304" t="str">
        <f>'DASE DADOS - DISTANCIA'!E304</f>
        <v>CAPANEMA</v>
      </c>
      <c r="E304" t="str">
        <f>'DASE DADOS - DISTANCIA'!I304</f>
        <v>PLUSVAL</v>
      </c>
      <c r="F304" s="7">
        <v>110</v>
      </c>
      <c r="G304">
        <f>'DASE DADOS - DISTANCIA'!J304</f>
        <v>220</v>
      </c>
      <c r="H304" s="2">
        <v>420</v>
      </c>
      <c r="I304" s="2" t="e">
        <f>IF(#REF!&lt;17200,DISTÂNCIA3[[#This Row],[KM PARA PAGAMENTO DOS FRETES]]*4.74,((#REF!/17200)*4.74)*DISTÂNCIA3[[#This Row],[KM PARA PAGAMENTO DOS FRETES]])</f>
        <v>#REF!</v>
      </c>
      <c r="J304" s="4">
        <f>DISTÂNCIA3[[#This Row],[Valor CTE]]/DISTÂNCIA3[[#This Row],[KM PARA PAGAMENTO DOS FRETES]]</f>
        <v>5.278681818181818</v>
      </c>
      <c r="K304" s="6">
        <f t="shared" si="12"/>
        <v>698.02</v>
      </c>
      <c r="L304" s="6">
        <f>0.92*DISTÂNCIA3[[#This Row],[KM distancia]]*4.578</f>
        <v>463.29360000000003</v>
      </c>
      <c r="M304" s="6">
        <f t="shared" si="13"/>
        <v>1161.31</v>
      </c>
    </row>
    <row r="305" spans="1:13" hidden="1" x14ac:dyDescent="0.35">
      <c r="A305">
        <f>'DASE DADOS - DISTANCIA'!A305</f>
        <v>30070</v>
      </c>
      <c r="B305" t="str">
        <f>'DASE DADOS - DISTANCIA'!B305</f>
        <v>ESPOLIO SALVADOR ACORDI FONTANELA</v>
      </c>
      <c r="C305" t="str">
        <f>'DASE DADOS - DISTANCIA'!C305</f>
        <v xml:space="preserve"> A1</v>
      </c>
      <c r="D305" t="str">
        <f>'DASE DADOS - DISTANCIA'!E305</f>
        <v>BOA VISTA DA APARECIDA</v>
      </c>
      <c r="E305" t="str">
        <f>'DASE DADOS - DISTANCIA'!I305</f>
        <v>PLUSVAL</v>
      </c>
      <c r="F305" s="7">
        <v>83.5</v>
      </c>
      <c r="G305">
        <f>'DASE DADOS - DISTANCIA'!J305</f>
        <v>167</v>
      </c>
      <c r="H305" s="2">
        <v>420</v>
      </c>
      <c r="I305" s="2" t="e">
        <f>IF(#REF!&lt;17200,DISTÂNCIA3[[#This Row],[KM PARA PAGAMENTO DOS FRETES]]*4.74,((#REF!/17200)*4.74)*DISTÂNCIA3[[#This Row],[KM PARA PAGAMENTO DOS FRETES]])</f>
        <v>#REF!</v>
      </c>
      <c r="J305" s="4">
        <f>DISTÂNCIA3[[#This Row],[Valor CTE]]/DISTÂNCIA3[[#This Row],[KM PARA PAGAMENTO DOS FRETES]]</f>
        <v>5.5591616766467062</v>
      </c>
      <c r="K305" s="6">
        <f t="shared" si="12"/>
        <v>576.70000000000005</v>
      </c>
      <c r="L305" s="6">
        <f>0.92*DISTÂNCIA3[[#This Row],[KM distancia]]*4.578</f>
        <v>351.68196000000006</v>
      </c>
      <c r="M305" s="6">
        <f t="shared" si="13"/>
        <v>928.38</v>
      </c>
    </row>
    <row r="306" spans="1:13" hidden="1" x14ac:dyDescent="0.35">
      <c r="A306">
        <f>'DASE DADOS - DISTANCIA'!A306</f>
        <v>1143964</v>
      </c>
      <c r="B306" t="str">
        <f>'DASE DADOS - DISTANCIA'!B306</f>
        <v>VALDECIR CEMBRANI</v>
      </c>
      <c r="C306" t="str">
        <f>'DASE DADOS - DISTANCIA'!C306</f>
        <v xml:space="preserve"> A1</v>
      </c>
      <c r="D306" t="str">
        <f>'DASE DADOS - DISTANCIA'!E306</f>
        <v>CAPANEMA</v>
      </c>
      <c r="E306" t="str">
        <f>'DASE DADOS - DISTANCIA'!I306</f>
        <v>PLUSVAL</v>
      </c>
      <c r="F306" s="7">
        <v>111</v>
      </c>
      <c r="G306">
        <f>'DASE DADOS - DISTANCIA'!J306</f>
        <v>222</v>
      </c>
      <c r="H306" s="2">
        <v>420</v>
      </c>
      <c r="I306" s="2" t="e">
        <f>IF(#REF!&lt;17200,DISTÂNCIA3[[#This Row],[KM PARA PAGAMENTO DOS FRETES]]*4.74,((#REF!/17200)*4.74)*DISTÂNCIA3[[#This Row],[KM PARA PAGAMENTO DOS FRETES]])</f>
        <v>#REF!</v>
      </c>
      <c r="J306" s="4">
        <f>DISTÂNCIA3[[#This Row],[Valor CTE]]/DISTÂNCIA3[[#This Row],[KM PARA PAGAMENTO DOS FRETES]]</f>
        <v>5.2707207207207203</v>
      </c>
      <c r="K306" s="6">
        <f t="shared" si="12"/>
        <v>702.6</v>
      </c>
      <c r="L306" s="6">
        <f>0.92*DISTÂNCIA3[[#This Row],[KM distancia]]*4.578</f>
        <v>467.50536000000005</v>
      </c>
      <c r="M306" s="6">
        <f t="shared" si="13"/>
        <v>1170.0999999999999</v>
      </c>
    </row>
    <row r="307" spans="1:13" hidden="1" x14ac:dyDescent="0.35">
      <c r="A307">
        <f>'DASE DADOS - DISTANCIA'!A307</f>
        <v>29897</v>
      </c>
      <c r="B307" t="str">
        <f>'DASE DADOS - DISTANCIA'!B307</f>
        <v>EVALDO BRAND</v>
      </c>
      <c r="C307" t="str">
        <f>'DASE DADOS - DISTANCIA'!C307</f>
        <v xml:space="preserve"> A2</v>
      </c>
      <c r="D307" t="str">
        <f>'DASE DADOS - DISTANCIA'!E307</f>
        <v>TRÊS BARRAS DO PARANÁ</v>
      </c>
      <c r="E307" t="str">
        <f>'DASE DADOS - DISTANCIA'!I307</f>
        <v>PLUSVAL</v>
      </c>
      <c r="F307" s="7">
        <v>106.5</v>
      </c>
      <c r="G307">
        <f>'DASE DADOS - DISTANCIA'!J307</f>
        <v>213</v>
      </c>
      <c r="H307" s="2">
        <v>420</v>
      </c>
      <c r="I307" s="2" t="e">
        <f>IF(#REF!&lt;17200,DISTÂNCIA3[[#This Row],[KM PARA PAGAMENTO DOS FRETES]]*4.74,((#REF!/17200)*4.74)*DISTÂNCIA3[[#This Row],[KM PARA PAGAMENTO DOS FRETES]])</f>
        <v>#REF!</v>
      </c>
      <c r="J307" s="4">
        <f>DISTÂNCIA3[[#This Row],[Valor CTE]]/DISTÂNCIA3[[#This Row],[KM PARA PAGAMENTO DOS FRETES]]</f>
        <v>5.3077464788732396</v>
      </c>
      <c r="K307" s="6">
        <f t="shared" si="12"/>
        <v>682</v>
      </c>
      <c r="L307" s="6">
        <f>0.92*DISTÂNCIA3[[#This Row],[KM distancia]]*4.578</f>
        <v>448.55244000000005</v>
      </c>
      <c r="M307" s="6">
        <f t="shared" si="13"/>
        <v>1130.55</v>
      </c>
    </row>
    <row r="308" spans="1:13" hidden="1" x14ac:dyDescent="0.35">
      <c r="A308">
        <f>'DASE DADOS - DISTANCIA'!A308</f>
        <v>30661</v>
      </c>
      <c r="B308" t="str">
        <f>'DASE DADOS - DISTANCIA'!B308</f>
        <v>VALDECIR RESENER</v>
      </c>
      <c r="C308" t="str">
        <f>'DASE DADOS - DISTANCIA'!C308</f>
        <v xml:space="preserve"> A1</v>
      </c>
      <c r="D308" t="str">
        <f>'DASE DADOS - DISTANCIA'!E308</f>
        <v>CAPANEMA</v>
      </c>
      <c r="E308" t="str">
        <f>'DASE DADOS - DISTANCIA'!I308</f>
        <v>PLUSVAL</v>
      </c>
      <c r="F308" s="7">
        <v>124</v>
      </c>
      <c r="G308">
        <f>'DASE DADOS - DISTANCIA'!J308</f>
        <v>248</v>
      </c>
      <c r="H308" s="2">
        <v>420</v>
      </c>
      <c r="I308" s="2" t="e">
        <f>IF(#REF!&lt;17200,DISTÂNCIA3[[#This Row],[KM PARA PAGAMENTO DOS FRETES]]*4.74,((#REF!/17200)*4.74)*DISTÂNCIA3[[#This Row],[KM PARA PAGAMENTO DOS FRETES]])</f>
        <v>#REF!</v>
      </c>
      <c r="J308" s="4">
        <f>DISTÂNCIA3[[#This Row],[Valor CTE]]/DISTÂNCIA3[[#This Row],[KM PARA PAGAMENTO DOS FRETES]]</f>
        <v>5.1789112903225805</v>
      </c>
      <c r="K308" s="6">
        <f t="shared" si="12"/>
        <v>762.11</v>
      </c>
      <c r="L308" s="6">
        <f>0.92*DISTÂNCIA3[[#This Row],[KM distancia]]*4.578</f>
        <v>522.25824</v>
      </c>
      <c r="M308" s="6">
        <f t="shared" si="13"/>
        <v>1284.3699999999999</v>
      </c>
    </row>
    <row r="309" spans="1:13" hidden="1" x14ac:dyDescent="0.35">
      <c r="A309">
        <f>'DASE DADOS - DISTANCIA'!A309</f>
        <v>29897</v>
      </c>
      <c r="B309" t="str">
        <f>'DASE DADOS - DISTANCIA'!B309</f>
        <v>EVALDO BRAND</v>
      </c>
      <c r="C309" t="str">
        <f>'DASE DADOS - DISTANCIA'!C309</f>
        <v xml:space="preserve"> A1</v>
      </c>
      <c r="D309" t="str">
        <f>'DASE DADOS - DISTANCIA'!E309</f>
        <v>TRÊS BARRAS DO PARANÁ</v>
      </c>
      <c r="E309" t="str">
        <f>'DASE DADOS - DISTANCIA'!I309</f>
        <v>PLUSVAL</v>
      </c>
      <c r="F309" s="7">
        <v>106.5</v>
      </c>
      <c r="G309">
        <f>'DASE DADOS - DISTANCIA'!J309</f>
        <v>213</v>
      </c>
      <c r="H309" s="2">
        <v>420</v>
      </c>
      <c r="I309" s="2" t="e">
        <f>IF(#REF!&lt;17200,DISTÂNCIA3[[#This Row],[KM PARA PAGAMENTO DOS FRETES]]*4.74,((#REF!/17200)*4.74)*DISTÂNCIA3[[#This Row],[KM PARA PAGAMENTO DOS FRETES]])</f>
        <v>#REF!</v>
      </c>
      <c r="J309" s="4">
        <f>DISTÂNCIA3[[#This Row],[Valor CTE]]/DISTÂNCIA3[[#This Row],[KM PARA PAGAMENTO DOS FRETES]]</f>
        <v>5.3077464788732396</v>
      </c>
      <c r="K309" s="6">
        <f t="shared" si="12"/>
        <v>682</v>
      </c>
      <c r="L309" s="6">
        <f>0.92*DISTÂNCIA3[[#This Row],[KM distancia]]*4.578</f>
        <v>448.55244000000005</v>
      </c>
      <c r="M309" s="6">
        <f t="shared" si="13"/>
        <v>1130.55</v>
      </c>
    </row>
    <row r="310" spans="1:13" hidden="1" x14ac:dyDescent="0.35">
      <c r="A310">
        <f>'DASE DADOS - DISTANCIA'!A310</f>
        <v>30026</v>
      </c>
      <c r="B310" t="str">
        <f>'DASE DADOS - DISTANCIA'!B310</f>
        <v>VALMIR SCAPIN DURIGON</v>
      </c>
      <c r="C310" t="str">
        <f>'DASE DADOS - DISTANCIA'!C310</f>
        <v xml:space="preserve"> A1</v>
      </c>
      <c r="D310" t="str">
        <f>'DASE DADOS - DISTANCIA'!E310</f>
        <v>PÉROLA DO OESTE</v>
      </c>
      <c r="E310" t="str">
        <f>'DASE DADOS - DISTANCIA'!I310</f>
        <v>PLUSVAL</v>
      </c>
      <c r="F310" s="7">
        <v>133</v>
      </c>
      <c r="G310">
        <f>'DASE DADOS - DISTANCIA'!J310</f>
        <v>266</v>
      </c>
      <c r="H310" s="2">
        <v>420</v>
      </c>
      <c r="I310" s="2" t="e">
        <f>IF(#REF!&lt;17200,DISTÂNCIA3[[#This Row],[KM PARA PAGAMENTO DOS FRETES]]*4.74,((#REF!/17200)*4.74)*DISTÂNCIA3[[#This Row],[KM PARA PAGAMENTO DOS FRETES]])</f>
        <v>#REF!</v>
      </c>
      <c r="J310" s="4">
        <f>DISTÂNCIA3[[#This Row],[Valor CTE]]/DISTÂNCIA3[[#This Row],[KM PARA PAGAMENTO DOS FRETES]]</f>
        <v>5.125864661654135</v>
      </c>
      <c r="K310" s="6">
        <f t="shared" si="12"/>
        <v>803.31</v>
      </c>
      <c r="L310" s="6">
        <f>0.92*DISTÂNCIA3[[#This Row],[KM distancia]]*4.578</f>
        <v>560.16408000000001</v>
      </c>
      <c r="M310" s="6">
        <f t="shared" si="13"/>
        <v>1363.48</v>
      </c>
    </row>
    <row r="311" spans="1:13" hidden="1" x14ac:dyDescent="0.35">
      <c r="A311">
        <f>'DASE DADOS - DISTANCIA'!A311</f>
        <v>0</v>
      </c>
      <c r="B311" t="str">
        <f>'DASE DADOS - DISTANCIA'!B311</f>
        <v>ELANI MIRIA KIST STOCKER</v>
      </c>
      <c r="C311" t="str">
        <f>'DASE DADOS - DISTANCIA'!C311</f>
        <v xml:space="preserve"> A1</v>
      </c>
      <c r="D311" t="str">
        <f>'DASE DADOS - DISTANCIA'!E311</f>
        <v>CASCAVEL</v>
      </c>
      <c r="E311" t="str">
        <f>'DASE DADOS - DISTANCIA'!I311</f>
        <v>PLUMA</v>
      </c>
      <c r="F311" s="7">
        <v>19.5</v>
      </c>
      <c r="G311">
        <f>'DASE DADOS - DISTANCIA'!J311</f>
        <v>39</v>
      </c>
      <c r="H311" s="2">
        <v>420</v>
      </c>
      <c r="I311" s="2" t="e">
        <f>IF(#REF!&lt;17200,DISTÂNCIA3[[#This Row],[KM PARA PAGAMENTO DOS FRETES]]*4.74,((#REF!/17200)*4.74)*DISTÂNCIA3[[#This Row],[KM PARA PAGAMENTO DOS FRETES]])</f>
        <v>#REF!</v>
      </c>
      <c r="J311" s="4">
        <f>DISTÂNCIA3[[#This Row],[Valor CTE]]/DISTÂNCIA3[[#This Row],[KM PARA PAGAMENTO DOS FRETES]]</f>
        <v>9.3805128205128199</v>
      </c>
      <c r="K311" s="6">
        <f t="shared" si="12"/>
        <v>283.70999999999998</v>
      </c>
      <c r="L311" s="6">
        <f>0.92*DISTÂNCIA3[[#This Row],[KM distancia]]*4.578</f>
        <v>82.129320000000007</v>
      </c>
      <c r="M311" s="6">
        <f t="shared" si="13"/>
        <v>365.84</v>
      </c>
    </row>
    <row r="312" spans="1:13" hidden="1" x14ac:dyDescent="0.35">
      <c r="A312">
        <f>'DASE DADOS - DISTANCIA'!A312</f>
        <v>30053</v>
      </c>
      <c r="B312" t="str">
        <f>'DASE DADOS - DISTANCIA'!B312</f>
        <v>VALTER JOSE STEFFEN</v>
      </c>
      <c r="C312" t="str">
        <f>'DASE DADOS - DISTANCIA'!C312</f>
        <v xml:space="preserve"> A1</v>
      </c>
      <c r="D312" t="str">
        <f>'DASE DADOS - DISTANCIA'!E312</f>
        <v>CAPANEMA</v>
      </c>
      <c r="E312" t="str">
        <f>'DASE DADOS - DISTANCIA'!I312</f>
        <v>PLUSVAL</v>
      </c>
      <c r="F312" s="7">
        <v>124</v>
      </c>
      <c r="G312">
        <f>'DASE DADOS - DISTANCIA'!J312</f>
        <v>248</v>
      </c>
      <c r="H312" s="2">
        <v>420</v>
      </c>
      <c r="I312" s="2" t="e">
        <f>IF(#REF!&lt;17200,DISTÂNCIA3[[#This Row],[KM PARA PAGAMENTO DOS FRETES]]*4.74,((#REF!/17200)*4.74)*DISTÂNCIA3[[#This Row],[KM PARA PAGAMENTO DOS FRETES]])</f>
        <v>#REF!</v>
      </c>
      <c r="J312" s="4">
        <f>DISTÂNCIA3[[#This Row],[Valor CTE]]/DISTÂNCIA3[[#This Row],[KM PARA PAGAMENTO DOS FRETES]]</f>
        <v>5.1789112903225805</v>
      </c>
      <c r="K312" s="6">
        <f t="shared" si="12"/>
        <v>762.11</v>
      </c>
      <c r="L312" s="6">
        <f>0.92*DISTÂNCIA3[[#This Row],[KM distancia]]*4.578</f>
        <v>522.25824</v>
      </c>
      <c r="M312" s="6">
        <f t="shared" si="13"/>
        <v>1284.3699999999999</v>
      </c>
    </row>
    <row r="313" spans="1:13" hidden="1" x14ac:dyDescent="0.35">
      <c r="A313">
        <f>'DASE DADOS - DISTANCIA'!A313</f>
        <v>30062</v>
      </c>
      <c r="B313" t="str">
        <f>'DASE DADOS - DISTANCIA'!B313</f>
        <v>EVALDO LUIZ HERDMAN BUENO</v>
      </c>
      <c r="C313" t="str">
        <f>'DASE DADOS - DISTANCIA'!C313</f>
        <v xml:space="preserve"> A2</v>
      </c>
      <c r="D313" t="str">
        <f>'DASE DADOS - DISTANCIA'!E313</f>
        <v>BOM JESUS DO SUL</v>
      </c>
      <c r="E313" t="str">
        <f>'DASE DADOS - DISTANCIA'!I313</f>
        <v>PLUSVAL</v>
      </c>
      <c r="F313" s="7">
        <v>177.5</v>
      </c>
      <c r="G313">
        <f>'DASE DADOS - DISTANCIA'!J313</f>
        <v>355</v>
      </c>
      <c r="H313" s="2">
        <v>420</v>
      </c>
      <c r="I313" s="2" t="e">
        <f>IF(#REF!&lt;17200,DISTÂNCIA3[[#This Row],[KM PARA PAGAMENTO DOS FRETES]]*4.74,((#REF!/17200)*4.74)*DISTÂNCIA3[[#This Row],[KM PARA PAGAMENTO DOS FRETES]])</f>
        <v>#REF!</v>
      </c>
      <c r="J313" s="4">
        <f>DISTÂNCIA3[[#This Row],[Valor CTE]]/DISTÂNCIA3[[#This Row],[KM PARA PAGAMENTO DOS FRETES]]</f>
        <v>4.9425915492957744</v>
      </c>
      <c r="K313" s="6">
        <f t="shared" si="12"/>
        <v>1007.04</v>
      </c>
      <c r="L313" s="6">
        <f>0.92*DISTÂNCIA3[[#This Row],[KM distancia]]*4.578</f>
        <v>747.58740000000012</v>
      </c>
      <c r="M313" s="6">
        <f t="shared" si="13"/>
        <v>1754.62</v>
      </c>
    </row>
    <row r="314" spans="1:13" hidden="1" x14ac:dyDescent="0.35">
      <c r="A314">
        <f>'DASE DADOS - DISTANCIA'!A314</f>
        <v>30053</v>
      </c>
      <c r="B314" t="str">
        <f>'DASE DADOS - DISTANCIA'!B314</f>
        <v>VALTER JOSE STEFFEN</v>
      </c>
      <c r="C314" t="str">
        <f>'DASE DADOS - DISTANCIA'!C314</f>
        <v xml:space="preserve"> A2</v>
      </c>
      <c r="D314" t="str">
        <f>'DASE DADOS - DISTANCIA'!E314</f>
        <v>CAPANEMA</v>
      </c>
      <c r="E314" t="str">
        <f>'DASE DADOS - DISTANCIA'!I314</f>
        <v>PLUSVAL</v>
      </c>
      <c r="F314" s="7">
        <v>124</v>
      </c>
      <c r="G314">
        <f>'DASE DADOS - DISTANCIA'!J314</f>
        <v>248</v>
      </c>
      <c r="H314" s="2">
        <v>420</v>
      </c>
      <c r="I314" s="2" t="e">
        <f>IF(#REF!&lt;17200,DISTÂNCIA3[[#This Row],[KM PARA PAGAMENTO DOS FRETES]]*4.74,((#REF!/17200)*4.74)*DISTÂNCIA3[[#This Row],[KM PARA PAGAMENTO DOS FRETES]])</f>
        <v>#REF!</v>
      </c>
      <c r="J314" s="4">
        <f>DISTÂNCIA3[[#This Row],[Valor CTE]]/DISTÂNCIA3[[#This Row],[KM PARA PAGAMENTO DOS FRETES]]</f>
        <v>5.1789112903225805</v>
      </c>
      <c r="K314" s="6">
        <f t="shared" si="12"/>
        <v>762.11</v>
      </c>
      <c r="L314" s="6">
        <f>0.92*DISTÂNCIA3[[#This Row],[KM distancia]]*4.578</f>
        <v>522.25824</v>
      </c>
      <c r="M314" s="6">
        <f t="shared" si="13"/>
        <v>1284.3699999999999</v>
      </c>
    </row>
    <row r="315" spans="1:13" hidden="1" x14ac:dyDescent="0.35">
      <c r="A315">
        <f>'DASE DADOS - DISTANCIA'!A315</f>
        <v>30062</v>
      </c>
      <c r="B315" t="str">
        <f>'DASE DADOS - DISTANCIA'!B315</f>
        <v>EVALDO LUIZ HERDMAN BUENO</v>
      </c>
      <c r="C315" t="str">
        <f>'DASE DADOS - DISTANCIA'!C315</f>
        <v xml:space="preserve"> A1</v>
      </c>
      <c r="D315" t="str">
        <f>'DASE DADOS - DISTANCIA'!E315</f>
        <v>BOM JESUS DO SUL</v>
      </c>
      <c r="E315" t="str">
        <f>'DASE DADOS - DISTANCIA'!I315</f>
        <v>PLUSVAL</v>
      </c>
      <c r="F315" s="7">
        <v>177.5</v>
      </c>
      <c r="G315">
        <f>'DASE DADOS - DISTANCIA'!J315</f>
        <v>355</v>
      </c>
      <c r="H315" s="2">
        <v>420</v>
      </c>
      <c r="I315" s="2" t="e">
        <f>IF(#REF!&lt;17200,DISTÂNCIA3[[#This Row],[KM PARA PAGAMENTO DOS FRETES]]*4.74,((#REF!/17200)*4.74)*DISTÂNCIA3[[#This Row],[KM PARA PAGAMENTO DOS FRETES]])</f>
        <v>#REF!</v>
      </c>
      <c r="J315" s="4">
        <f>DISTÂNCIA3[[#This Row],[Valor CTE]]/DISTÂNCIA3[[#This Row],[KM PARA PAGAMENTO DOS FRETES]]</f>
        <v>4.9425915492957744</v>
      </c>
      <c r="K315" s="6">
        <f t="shared" si="12"/>
        <v>1007.04</v>
      </c>
      <c r="L315" s="6">
        <f>0.92*DISTÂNCIA3[[#This Row],[KM distancia]]*4.578</f>
        <v>747.58740000000012</v>
      </c>
      <c r="M315" s="6">
        <f t="shared" si="13"/>
        <v>1754.62</v>
      </c>
    </row>
    <row r="316" spans="1:13" hidden="1" x14ac:dyDescent="0.35">
      <c r="A316">
        <f>'DASE DADOS - DISTANCIA'!A316</f>
        <v>30053</v>
      </c>
      <c r="B316" t="str">
        <f>'DASE DADOS - DISTANCIA'!B316</f>
        <v>VALTER JOSE STEFFEN</v>
      </c>
      <c r="C316" t="str">
        <f>'DASE DADOS - DISTANCIA'!C316</f>
        <v xml:space="preserve"> A3</v>
      </c>
      <c r="D316" t="str">
        <f>'DASE DADOS - DISTANCIA'!E316</f>
        <v>CAPANEMA</v>
      </c>
      <c r="E316" t="str">
        <f>'DASE DADOS - DISTANCIA'!I316</f>
        <v>PLUSVAL</v>
      </c>
      <c r="F316" s="7">
        <v>124</v>
      </c>
      <c r="G316">
        <f>'DASE DADOS - DISTANCIA'!J316</f>
        <v>248</v>
      </c>
      <c r="H316" s="2">
        <v>420</v>
      </c>
      <c r="I316" s="2" t="e">
        <f>IF(#REF!&lt;17200,DISTÂNCIA3[[#This Row],[KM PARA PAGAMENTO DOS FRETES]]*4.74,((#REF!/17200)*4.74)*DISTÂNCIA3[[#This Row],[KM PARA PAGAMENTO DOS FRETES]])</f>
        <v>#REF!</v>
      </c>
      <c r="J316" s="4">
        <f>DISTÂNCIA3[[#This Row],[Valor CTE]]/DISTÂNCIA3[[#This Row],[KM PARA PAGAMENTO DOS FRETES]]</f>
        <v>5.1789112903225805</v>
      </c>
      <c r="K316" s="6">
        <f t="shared" si="12"/>
        <v>762.11</v>
      </c>
      <c r="L316" s="6">
        <f>0.92*DISTÂNCIA3[[#This Row],[KM distancia]]*4.578</f>
        <v>522.25824</v>
      </c>
      <c r="M316" s="6">
        <f t="shared" si="13"/>
        <v>1284.3699999999999</v>
      </c>
    </row>
    <row r="317" spans="1:13" hidden="1" x14ac:dyDescent="0.35">
      <c r="A317">
        <f>'DASE DADOS - DISTANCIA'!A317</f>
        <v>41542</v>
      </c>
      <c r="B317" t="str">
        <f>'DASE DADOS - DISTANCIA'!B317</f>
        <v>AILTON LUIZ SCHNEIDER</v>
      </c>
      <c r="C317" t="str">
        <f>'DASE DADOS - DISTANCIA'!C317</f>
        <v>A2</v>
      </c>
      <c r="D317" t="str">
        <f>'DASE DADOS - DISTANCIA'!E317</f>
        <v>CAPANEMA</v>
      </c>
      <c r="E317" t="str">
        <f>'DASE DADOS - DISTANCIA'!I317</f>
        <v>PLUSVAL</v>
      </c>
      <c r="F317" s="7">
        <v>131.5</v>
      </c>
      <c r="G317">
        <f>'DASE DADOS - DISTANCIA'!J317</f>
        <v>263</v>
      </c>
      <c r="H317" s="2">
        <v>420</v>
      </c>
      <c r="I317" s="2" t="e">
        <f>IF(#REF!&lt;17200,DISTÂNCIA3[[#This Row],[KM PARA PAGAMENTO DOS FRETES]]*4.74,((#REF!/17200)*4.74)*DISTÂNCIA3[[#This Row],[KM PARA PAGAMENTO DOS FRETES]])</f>
        <v>#REF!</v>
      </c>
      <c r="J317" s="4">
        <f>DISTÂNCIA3[[#This Row],[Valor CTE]]/DISTÂNCIA3[[#This Row],[KM PARA PAGAMENTO DOS FRETES]]</f>
        <v>5.1341825095057034</v>
      </c>
      <c r="K317" s="6">
        <f t="shared" si="12"/>
        <v>796.45</v>
      </c>
      <c r="L317" s="6">
        <f>0.92*DISTÂNCIA3[[#This Row],[KM distancia]]*4.578</f>
        <v>553.84644000000003</v>
      </c>
      <c r="M317" s="6">
        <f t="shared" si="13"/>
        <v>1350.29</v>
      </c>
    </row>
    <row r="318" spans="1:13" hidden="1" x14ac:dyDescent="0.35">
      <c r="A318">
        <f>'DASE DADOS - DISTANCIA'!A318</f>
        <v>30040</v>
      </c>
      <c r="B318" t="str">
        <f>'DASE DADOS - DISTANCIA'!B318</f>
        <v>EVERTON PEDRON</v>
      </c>
      <c r="C318" t="str">
        <f>'DASE DADOS - DISTANCIA'!C318</f>
        <v xml:space="preserve"> A1</v>
      </c>
      <c r="D318" t="str">
        <f>'DASE DADOS - DISTANCIA'!E318</f>
        <v>REALEZA</v>
      </c>
      <c r="E318" t="str">
        <f>'DASE DADOS - DISTANCIA'!I318</f>
        <v>PLUSVAL</v>
      </c>
      <c r="F318" s="7">
        <v>99.5</v>
      </c>
      <c r="G318">
        <f>'DASE DADOS - DISTANCIA'!J318</f>
        <v>199</v>
      </c>
      <c r="H318" s="2">
        <v>420</v>
      </c>
      <c r="I318" s="2" t="e">
        <f>IF(#REF!&lt;17200,DISTÂNCIA3[[#This Row],[KM PARA PAGAMENTO DOS FRETES]]*4.74,((#REF!/17200)*4.74)*DISTÂNCIA3[[#This Row],[KM PARA PAGAMENTO DOS FRETES]])</f>
        <v>#REF!</v>
      </c>
      <c r="J318" s="4">
        <f>DISTÂNCIA3[[#This Row],[Valor CTE]]/DISTÂNCIA3[[#This Row],[KM PARA PAGAMENTO DOS FRETES]]</f>
        <v>5.3719597989949746</v>
      </c>
      <c r="K318" s="6">
        <f t="shared" si="12"/>
        <v>649.95000000000005</v>
      </c>
      <c r="L318" s="6">
        <f>0.92*DISTÂNCIA3[[#This Row],[KM distancia]]*4.578</f>
        <v>419.07012000000003</v>
      </c>
      <c r="M318" s="6">
        <f t="shared" si="13"/>
        <v>1069.02</v>
      </c>
    </row>
    <row r="319" spans="1:13" hidden="1" x14ac:dyDescent="0.35">
      <c r="A319">
        <f>'DASE DADOS - DISTANCIA'!A319</f>
        <v>29437</v>
      </c>
      <c r="B319" t="str">
        <f>'DASE DADOS - DISTANCIA'!B319</f>
        <v>EVILSON DE ALMEIDA GUEDES</v>
      </c>
      <c r="C319" t="str">
        <f>'DASE DADOS - DISTANCIA'!C319</f>
        <v xml:space="preserve"> A3</v>
      </c>
      <c r="D319" t="str">
        <f>'DASE DADOS - DISTANCIA'!E319</f>
        <v>BARRACÃO</v>
      </c>
      <c r="E319" t="str">
        <f>'DASE DADOS - DISTANCIA'!I319</f>
        <v>PLUSVAL</v>
      </c>
      <c r="F319" s="7">
        <v>190</v>
      </c>
      <c r="G319">
        <f>'DASE DADOS - DISTANCIA'!J319</f>
        <v>380</v>
      </c>
      <c r="H319" s="2">
        <v>420</v>
      </c>
      <c r="I319" s="2" t="e">
        <f>IF(#REF!&lt;17200,DISTÂNCIA3[[#This Row],[KM PARA PAGAMENTO DOS FRETES]]*4.74,((#REF!/17200)*4.74)*DISTÂNCIA3[[#This Row],[KM PARA PAGAMENTO DOS FRETES]])</f>
        <v>#REF!</v>
      </c>
      <c r="J319" s="4">
        <f>DISTÂNCIA3[[#This Row],[Valor CTE]]/DISTÂNCIA3[[#This Row],[KM PARA PAGAMENTO DOS FRETES]]</f>
        <v>4.9065526315789478</v>
      </c>
      <c r="K319" s="6">
        <f t="shared" si="12"/>
        <v>1064.26</v>
      </c>
      <c r="L319" s="6">
        <f>0.92*DISTÂNCIA3[[#This Row],[KM distancia]]*4.578</f>
        <v>800.23440000000005</v>
      </c>
      <c r="M319" s="6">
        <f t="shared" si="13"/>
        <v>1864.49</v>
      </c>
    </row>
    <row r="320" spans="1:13" hidden="1" x14ac:dyDescent="0.35">
      <c r="A320">
        <f>'DASE DADOS - DISTANCIA'!A320</f>
        <v>29437</v>
      </c>
      <c r="B320" t="str">
        <f>'DASE DADOS - DISTANCIA'!B320</f>
        <v>EVILSON DE ALMEIDA GUEDES</v>
      </c>
      <c r="C320" t="str">
        <f>'DASE DADOS - DISTANCIA'!C320</f>
        <v xml:space="preserve"> A2</v>
      </c>
      <c r="D320" t="str">
        <f>'DASE DADOS - DISTANCIA'!E320</f>
        <v>BARRACÃO</v>
      </c>
      <c r="E320" t="str">
        <f>'DASE DADOS - DISTANCIA'!I320</f>
        <v>PLUSVAL</v>
      </c>
      <c r="F320" s="7">
        <v>190</v>
      </c>
      <c r="G320">
        <f>'DASE DADOS - DISTANCIA'!J320</f>
        <v>380</v>
      </c>
      <c r="H320" s="2">
        <v>420</v>
      </c>
      <c r="I320" s="2" t="e">
        <f>IF(#REF!&lt;17200,DISTÂNCIA3[[#This Row],[KM PARA PAGAMENTO DOS FRETES]]*4.74,((#REF!/17200)*4.74)*DISTÂNCIA3[[#This Row],[KM PARA PAGAMENTO DOS FRETES]])</f>
        <v>#REF!</v>
      </c>
      <c r="J320" s="4">
        <f>DISTÂNCIA3[[#This Row],[Valor CTE]]/DISTÂNCIA3[[#This Row],[KM PARA PAGAMENTO DOS FRETES]]</f>
        <v>4.9065526315789478</v>
      </c>
      <c r="K320" s="6">
        <f t="shared" si="12"/>
        <v>1064.26</v>
      </c>
      <c r="L320" s="6">
        <f>0.92*DISTÂNCIA3[[#This Row],[KM distancia]]*4.578</f>
        <v>800.23440000000005</v>
      </c>
      <c r="M320" s="6">
        <f t="shared" si="13"/>
        <v>1864.49</v>
      </c>
    </row>
    <row r="321" spans="1:13" hidden="1" x14ac:dyDescent="0.35">
      <c r="A321">
        <f>'DASE DADOS - DISTANCIA'!A321</f>
        <v>29437</v>
      </c>
      <c r="B321" t="str">
        <f>'DASE DADOS - DISTANCIA'!B321</f>
        <v>EVILSON DE ALMEIDA GUEDES</v>
      </c>
      <c r="C321" t="str">
        <f>'DASE DADOS - DISTANCIA'!C321</f>
        <v xml:space="preserve"> A4</v>
      </c>
      <c r="D321" t="str">
        <f>'DASE DADOS - DISTANCIA'!E321</f>
        <v>BARRACÃO</v>
      </c>
      <c r="E321" t="str">
        <f>'DASE DADOS - DISTANCIA'!I321</f>
        <v>PLUSVAL</v>
      </c>
      <c r="F321" s="7">
        <v>190</v>
      </c>
      <c r="G321">
        <f>'DASE DADOS - DISTANCIA'!J321</f>
        <v>380</v>
      </c>
      <c r="H321" s="2">
        <v>420</v>
      </c>
      <c r="I321" s="2" t="e">
        <f>IF(#REF!&lt;17200,DISTÂNCIA3[[#This Row],[KM PARA PAGAMENTO DOS FRETES]]*4.74,((#REF!/17200)*4.74)*DISTÂNCIA3[[#This Row],[KM PARA PAGAMENTO DOS FRETES]])</f>
        <v>#REF!</v>
      </c>
      <c r="J321" s="4">
        <f>DISTÂNCIA3[[#This Row],[Valor CTE]]/DISTÂNCIA3[[#This Row],[KM PARA PAGAMENTO DOS FRETES]]</f>
        <v>4.9065526315789478</v>
      </c>
      <c r="K321" s="6">
        <f t="shared" si="12"/>
        <v>1064.26</v>
      </c>
      <c r="L321" s="6">
        <f>0.92*DISTÂNCIA3[[#This Row],[KM distancia]]*4.578</f>
        <v>800.23440000000005</v>
      </c>
      <c r="M321" s="6">
        <f t="shared" si="13"/>
        <v>1864.49</v>
      </c>
    </row>
    <row r="322" spans="1:13" hidden="1" x14ac:dyDescent="0.35">
      <c r="A322">
        <f>'DASE DADOS - DISTANCIA'!A322</f>
        <v>29437</v>
      </c>
      <c r="B322" t="str">
        <f>'DASE DADOS - DISTANCIA'!B322</f>
        <v>EVILSON DE ALMEIDA GUEDES</v>
      </c>
      <c r="C322" t="str">
        <f>'DASE DADOS - DISTANCIA'!C322</f>
        <v xml:space="preserve"> A1</v>
      </c>
      <c r="D322" t="str">
        <f>'DASE DADOS - DISTANCIA'!E322</f>
        <v>BARRACÃO</v>
      </c>
      <c r="E322" t="str">
        <f>'DASE DADOS - DISTANCIA'!I322</f>
        <v>PLUSVAL</v>
      </c>
      <c r="F322" s="7">
        <v>190</v>
      </c>
      <c r="G322">
        <f>'DASE DADOS - DISTANCIA'!J322</f>
        <v>380</v>
      </c>
      <c r="H322" s="2">
        <v>420</v>
      </c>
      <c r="I322" s="2" t="e">
        <f>IF(#REF!&lt;17200,DISTÂNCIA3[[#This Row],[KM PARA PAGAMENTO DOS FRETES]]*4.74,((#REF!/17200)*4.74)*DISTÂNCIA3[[#This Row],[KM PARA PAGAMENTO DOS FRETES]])</f>
        <v>#REF!</v>
      </c>
      <c r="J322" s="4">
        <f>DISTÂNCIA3[[#This Row],[Valor CTE]]/DISTÂNCIA3[[#This Row],[KM PARA PAGAMENTO DOS FRETES]]</f>
        <v>4.9065526315789478</v>
      </c>
      <c r="K322" s="6">
        <f t="shared" ref="K322:K385" si="14">ROUND((F322*4.578)+194.44,2)</f>
        <v>1064.26</v>
      </c>
      <c r="L322" s="6">
        <f>0.92*DISTÂNCIA3[[#This Row],[KM distancia]]*4.578</f>
        <v>800.23440000000005</v>
      </c>
      <c r="M322" s="6">
        <f t="shared" si="13"/>
        <v>1864.49</v>
      </c>
    </row>
    <row r="323" spans="1:13" hidden="1" x14ac:dyDescent="0.35">
      <c r="A323">
        <f>'DASE DADOS - DISTANCIA'!A323</f>
        <v>0</v>
      </c>
      <c r="B323" t="str">
        <f>'DASE DADOS - DISTANCIA'!B323</f>
        <v>ELIO ZUFFO</v>
      </c>
      <c r="C323" t="str">
        <f>'DASE DADOS - DISTANCIA'!C323</f>
        <v xml:space="preserve"> A2</v>
      </c>
      <c r="D323" t="str">
        <f>'DASE DADOS - DISTANCIA'!E323</f>
        <v>TOLEDO</v>
      </c>
      <c r="E323" t="str">
        <f>'DASE DADOS - DISTANCIA'!I323</f>
        <v>PLUMA</v>
      </c>
      <c r="F323" s="7">
        <v>71.5</v>
      </c>
      <c r="G323">
        <f>'DASE DADOS - DISTANCIA'!J323</f>
        <v>143</v>
      </c>
      <c r="H323" s="2">
        <v>420</v>
      </c>
      <c r="I323" s="2" t="e">
        <f>IF(#REF!&lt;17200,DISTÂNCIA3[[#This Row],[KM PARA PAGAMENTO DOS FRETES]]*4.74,((#REF!/17200)*4.74)*DISTÂNCIA3[[#This Row],[KM PARA PAGAMENTO DOS FRETES]])</f>
        <v>#REF!</v>
      </c>
      <c r="J323" s="4">
        <f>DISTÂNCIA3[[#This Row],[Valor CTE]]/DISTÂNCIA3[[#This Row],[KM PARA PAGAMENTO DOS FRETES]]</f>
        <v>5.7546153846153842</v>
      </c>
      <c r="K323" s="6">
        <f t="shared" si="14"/>
        <v>521.77</v>
      </c>
      <c r="L323" s="6">
        <f>0.92*DISTÂNCIA3[[#This Row],[KM distancia]]*4.578</f>
        <v>301.14084000000003</v>
      </c>
      <c r="M323" s="6">
        <f t="shared" ref="M323:M386" si="15">ROUND(((F323*4.578)+194.44)+(0.92*F323*4.578),2)</f>
        <v>822.91</v>
      </c>
    </row>
    <row r="324" spans="1:13" hidden="1" x14ac:dyDescent="0.35">
      <c r="A324">
        <f>'DASE DADOS - DISTANCIA'!A324</f>
        <v>0</v>
      </c>
      <c r="B324" t="str">
        <f>'DASE DADOS - DISTANCIA'!B324</f>
        <v>ELIO ZUFFO</v>
      </c>
      <c r="C324" t="str">
        <f>'DASE DADOS - DISTANCIA'!C324</f>
        <v xml:space="preserve"> A1</v>
      </c>
      <c r="D324" t="str">
        <f>'DASE DADOS - DISTANCIA'!E324</f>
        <v>TOLEDO</v>
      </c>
      <c r="E324" t="str">
        <f>'DASE DADOS - DISTANCIA'!I324</f>
        <v>PLUMA</v>
      </c>
      <c r="F324" s="7">
        <v>71.5</v>
      </c>
      <c r="G324">
        <f>'DASE DADOS - DISTANCIA'!J324</f>
        <v>143</v>
      </c>
      <c r="H324" s="2">
        <v>420</v>
      </c>
      <c r="I324" s="2" t="e">
        <f>IF(#REF!&lt;17200,DISTÂNCIA3[[#This Row],[KM PARA PAGAMENTO DOS FRETES]]*4.74,((#REF!/17200)*4.74)*DISTÂNCIA3[[#This Row],[KM PARA PAGAMENTO DOS FRETES]])</f>
        <v>#REF!</v>
      </c>
      <c r="J324" s="4">
        <f>DISTÂNCIA3[[#This Row],[Valor CTE]]/DISTÂNCIA3[[#This Row],[KM PARA PAGAMENTO DOS FRETES]]</f>
        <v>5.7546153846153842</v>
      </c>
      <c r="K324" s="6">
        <f t="shared" si="14"/>
        <v>521.77</v>
      </c>
      <c r="L324" s="6">
        <f>0.92*DISTÂNCIA3[[#This Row],[KM distancia]]*4.578</f>
        <v>301.14084000000003</v>
      </c>
      <c r="M324" s="6">
        <f t="shared" si="15"/>
        <v>822.91</v>
      </c>
    </row>
    <row r="325" spans="1:13" hidden="1" x14ac:dyDescent="0.35">
      <c r="A325">
        <f>'DASE DADOS - DISTANCIA'!A325</f>
        <v>52123</v>
      </c>
      <c r="B325" t="str">
        <f>'DASE DADOS - DISTANCIA'!B325</f>
        <v>FABIO JUNIOR ASCARI</v>
      </c>
      <c r="C325" t="str">
        <f>'DASE DADOS - DISTANCIA'!C325</f>
        <v xml:space="preserve"> A2</v>
      </c>
      <c r="D325" t="str">
        <f>'DASE DADOS - DISTANCIA'!E325</f>
        <v>TRÊS BARRAS DO PARANÁ</v>
      </c>
      <c r="E325" t="str">
        <f>'DASE DADOS - DISTANCIA'!I325</f>
        <v>PLUSVAL</v>
      </c>
      <c r="F325" s="7">
        <v>96</v>
      </c>
      <c r="G325">
        <f>'DASE DADOS - DISTANCIA'!J325</f>
        <v>192</v>
      </c>
      <c r="H325" s="2">
        <v>420</v>
      </c>
      <c r="I325" s="2" t="e">
        <f>IF(#REF!&lt;17200,DISTÂNCIA3[[#This Row],[KM PARA PAGAMENTO DOS FRETES]]*4.74,((#REF!/17200)*4.74)*DISTÂNCIA3[[#This Row],[KM PARA PAGAMENTO DOS FRETES]])</f>
        <v>#REF!</v>
      </c>
      <c r="J325" s="4">
        <f>DISTÂNCIA3[[#This Row],[Valor CTE]]/DISTÂNCIA3[[#This Row],[KM PARA PAGAMENTO DOS FRETES]]</f>
        <v>5.4076041666666663</v>
      </c>
      <c r="K325" s="6">
        <f t="shared" si="14"/>
        <v>633.92999999999995</v>
      </c>
      <c r="L325" s="6">
        <f>0.92*DISTÂNCIA3[[#This Row],[KM distancia]]*4.578</f>
        <v>404.32896000000005</v>
      </c>
      <c r="M325" s="6">
        <f t="shared" si="15"/>
        <v>1038.26</v>
      </c>
    </row>
    <row r="326" spans="1:13" hidden="1" x14ac:dyDescent="0.35">
      <c r="A326">
        <f>'DASE DADOS - DISTANCIA'!A326</f>
        <v>52123</v>
      </c>
      <c r="B326" t="str">
        <f>'DASE DADOS - DISTANCIA'!B326</f>
        <v>FABIO JUNIOR ASCARI</v>
      </c>
      <c r="C326" t="str">
        <f>'DASE DADOS - DISTANCIA'!C326</f>
        <v xml:space="preserve"> A1</v>
      </c>
      <c r="D326" t="str">
        <f>'DASE DADOS - DISTANCIA'!E326</f>
        <v>TRÊS BARRAS DO PARANÁ</v>
      </c>
      <c r="E326" t="str">
        <f>'DASE DADOS - DISTANCIA'!I326</f>
        <v>PLUSVAL</v>
      </c>
      <c r="F326" s="7">
        <v>96</v>
      </c>
      <c r="G326">
        <f>'DASE DADOS - DISTANCIA'!J326</f>
        <v>192</v>
      </c>
      <c r="H326" s="2">
        <v>420</v>
      </c>
      <c r="I326" s="2" t="e">
        <f>IF(#REF!&lt;17200,DISTÂNCIA3[[#This Row],[KM PARA PAGAMENTO DOS FRETES]]*4.74,((#REF!/17200)*4.74)*DISTÂNCIA3[[#This Row],[KM PARA PAGAMENTO DOS FRETES]])</f>
        <v>#REF!</v>
      </c>
      <c r="J326" s="4">
        <f>DISTÂNCIA3[[#This Row],[Valor CTE]]/DISTÂNCIA3[[#This Row],[KM PARA PAGAMENTO DOS FRETES]]</f>
        <v>5.4076041666666663</v>
      </c>
      <c r="K326" s="6">
        <f t="shared" si="14"/>
        <v>633.92999999999995</v>
      </c>
      <c r="L326" s="6">
        <f>0.92*DISTÂNCIA3[[#This Row],[KM distancia]]*4.578</f>
        <v>404.32896000000005</v>
      </c>
      <c r="M326" s="6">
        <f t="shared" si="15"/>
        <v>1038.26</v>
      </c>
    </row>
    <row r="327" spans="1:13" hidden="1" x14ac:dyDescent="0.35">
      <c r="A327">
        <f>'DASE DADOS - DISTANCIA'!A327</f>
        <v>5829801</v>
      </c>
      <c r="B327" t="str">
        <f>'DASE DADOS - DISTANCIA'!B327</f>
        <v>FERNANDO LUIZ MANFROI</v>
      </c>
      <c r="C327" t="str">
        <f>'DASE DADOS - DISTANCIA'!C327</f>
        <v xml:space="preserve"> A1</v>
      </c>
      <c r="D327" t="str">
        <f>'DASE DADOS - DISTANCIA'!E327</f>
        <v>TOLEDO</v>
      </c>
      <c r="E327" t="str">
        <f>'DASE DADOS - DISTANCIA'!I327</f>
        <v>PLUMA</v>
      </c>
      <c r="F327" s="7">
        <v>58.5</v>
      </c>
      <c r="G327">
        <f>'DASE DADOS - DISTANCIA'!J327</f>
        <v>117</v>
      </c>
      <c r="H327" s="2">
        <v>420</v>
      </c>
      <c r="I327" s="2" t="e">
        <f>IF(#REF!&lt;17200,DISTÂNCIA3[[#This Row],[KM PARA PAGAMENTO DOS FRETES]]*4.74,((#REF!/17200)*4.74)*DISTÂNCIA3[[#This Row],[KM PARA PAGAMENTO DOS FRETES]])</f>
        <v>#REF!</v>
      </c>
      <c r="J327" s="4">
        <f>DISTÂNCIA3[[#This Row],[Valor CTE]]/DISTÂNCIA3[[#This Row],[KM PARA PAGAMENTO DOS FRETES]]</f>
        <v>6.0567521367521362</v>
      </c>
      <c r="K327" s="6">
        <f t="shared" si="14"/>
        <v>462.25</v>
      </c>
      <c r="L327" s="6">
        <f>0.92*DISTÂNCIA3[[#This Row],[KM distancia]]*4.578</f>
        <v>246.38796000000002</v>
      </c>
      <c r="M327" s="6">
        <f t="shared" si="15"/>
        <v>708.64</v>
      </c>
    </row>
    <row r="328" spans="1:13" hidden="1" x14ac:dyDescent="0.35">
      <c r="A328">
        <f>'DASE DADOS - DISTANCIA'!A328</f>
        <v>5829801</v>
      </c>
      <c r="B328" t="str">
        <f>'DASE DADOS - DISTANCIA'!B328</f>
        <v>FERNANDO LUIZ MANFROI</v>
      </c>
      <c r="C328" t="str">
        <f>'DASE DADOS - DISTANCIA'!C328</f>
        <v xml:space="preserve"> A3</v>
      </c>
      <c r="D328" t="str">
        <f>'DASE DADOS - DISTANCIA'!E328</f>
        <v>TOLEDO</v>
      </c>
      <c r="E328" t="str">
        <f>'DASE DADOS - DISTANCIA'!I328</f>
        <v>PLUMA</v>
      </c>
      <c r="F328" s="7">
        <v>58.5</v>
      </c>
      <c r="G328">
        <f>'DASE DADOS - DISTANCIA'!J328</f>
        <v>117</v>
      </c>
      <c r="H328" s="2">
        <v>420</v>
      </c>
      <c r="I328" s="2" t="e">
        <f>IF(#REF!&lt;17200,DISTÂNCIA3[[#This Row],[KM PARA PAGAMENTO DOS FRETES]]*4.74,((#REF!/17200)*4.74)*DISTÂNCIA3[[#This Row],[KM PARA PAGAMENTO DOS FRETES]])</f>
        <v>#REF!</v>
      </c>
      <c r="J328" s="4">
        <f>DISTÂNCIA3[[#This Row],[Valor CTE]]/DISTÂNCIA3[[#This Row],[KM PARA PAGAMENTO DOS FRETES]]</f>
        <v>6.0567521367521362</v>
      </c>
      <c r="K328" s="6">
        <f t="shared" si="14"/>
        <v>462.25</v>
      </c>
      <c r="L328" s="6">
        <f>0.92*DISTÂNCIA3[[#This Row],[KM distancia]]*4.578</f>
        <v>246.38796000000002</v>
      </c>
      <c r="M328" s="6">
        <f t="shared" si="15"/>
        <v>708.64</v>
      </c>
    </row>
    <row r="329" spans="1:13" hidden="1" x14ac:dyDescent="0.35">
      <c r="A329">
        <f>'DASE DADOS - DISTANCIA'!A329</f>
        <v>5829801</v>
      </c>
      <c r="B329" t="str">
        <f>'DASE DADOS - DISTANCIA'!B329</f>
        <v>FERNANDO LUIZ MANFROI</v>
      </c>
      <c r="C329" t="str">
        <f>'DASE DADOS - DISTANCIA'!C329</f>
        <v xml:space="preserve"> A2</v>
      </c>
      <c r="D329" t="str">
        <f>'DASE DADOS - DISTANCIA'!E329</f>
        <v>TOLEDO</v>
      </c>
      <c r="E329" t="str">
        <f>'DASE DADOS - DISTANCIA'!I329</f>
        <v>PLUMA</v>
      </c>
      <c r="F329" s="7">
        <v>58.5</v>
      </c>
      <c r="G329">
        <f>'DASE DADOS - DISTANCIA'!J329</f>
        <v>117</v>
      </c>
      <c r="H329" s="2">
        <v>420</v>
      </c>
      <c r="I329" s="2" t="e">
        <f>IF(#REF!&lt;17200,DISTÂNCIA3[[#This Row],[KM PARA PAGAMENTO DOS FRETES]]*4.74,((#REF!/17200)*4.74)*DISTÂNCIA3[[#This Row],[KM PARA PAGAMENTO DOS FRETES]])</f>
        <v>#REF!</v>
      </c>
      <c r="J329" s="4">
        <f>DISTÂNCIA3[[#This Row],[Valor CTE]]/DISTÂNCIA3[[#This Row],[KM PARA PAGAMENTO DOS FRETES]]</f>
        <v>6.0567521367521362</v>
      </c>
      <c r="K329" s="6">
        <f t="shared" si="14"/>
        <v>462.25</v>
      </c>
      <c r="L329" s="6">
        <f>0.92*DISTÂNCIA3[[#This Row],[KM distancia]]*4.578</f>
        <v>246.38796000000002</v>
      </c>
      <c r="M329" s="6">
        <f t="shared" si="15"/>
        <v>708.64</v>
      </c>
    </row>
    <row r="330" spans="1:13" hidden="1" x14ac:dyDescent="0.35">
      <c r="A330">
        <f>'DASE DADOS - DISTANCIA'!A330</f>
        <v>29955</v>
      </c>
      <c r="B330" t="str">
        <f>'DASE DADOS - DISTANCIA'!B330</f>
        <v>FERNANDO SALBEGO</v>
      </c>
      <c r="C330" t="str">
        <f>'DASE DADOS - DISTANCIA'!C330</f>
        <v xml:space="preserve"> A1</v>
      </c>
      <c r="D330" t="str">
        <f>'DASE DADOS - DISTANCIA'!E330</f>
        <v>PÉROLA DO OESTE</v>
      </c>
      <c r="E330" t="str">
        <f>'DASE DADOS - DISTANCIA'!I330</f>
        <v>PLUSVAL</v>
      </c>
      <c r="F330" s="7">
        <v>138</v>
      </c>
      <c r="G330">
        <f>'DASE DADOS - DISTANCIA'!J330</f>
        <v>276</v>
      </c>
      <c r="H330" s="2">
        <v>420</v>
      </c>
      <c r="I330" s="2" t="e">
        <f>IF(#REF!&lt;17200,DISTÂNCIA3[[#This Row],[KM PARA PAGAMENTO DOS FRETES]]*4.74,((#REF!/17200)*4.74)*DISTÂNCIA3[[#This Row],[KM PARA PAGAMENTO DOS FRETES]])</f>
        <v>#REF!</v>
      </c>
      <c r="J330" s="4">
        <f>DISTÂNCIA3[[#This Row],[Valor CTE]]/DISTÂNCIA3[[#This Row],[KM PARA PAGAMENTO DOS FRETES]]</f>
        <v>5.0993840579710144</v>
      </c>
      <c r="K330" s="6">
        <f t="shared" si="14"/>
        <v>826.2</v>
      </c>
      <c r="L330" s="6">
        <f>0.92*DISTÂNCIA3[[#This Row],[KM distancia]]*4.578</f>
        <v>581.22288000000003</v>
      </c>
      <c r="M330" s="6">
        <f t="shared" si="15"/>
        <v>1407.43</v>
      </c>
    </row>
    <row r="331" spans="1:13" hidden="1" x14ac:dyDescent="0.35">
      <c r="A331">
        <f>'DASE DADOS - DISTANCIA'!A331</f>
        <v>1122509</v>
      </c>
      <c r="B331" t="s">
        <v>897</v>
      </c>
      <c r="C331" t="str">
        <f>'DASE DADOS - DISTANCIA'!C331</f>
        <v xml:space="preserve"> A1</v>
      </c>
      <c r="D331" t="str">
        <f>'DASE DADOS - DISTANCIA'!E331</f>
        <v>CAPANEMA</v>
      </c>
      <c r="E331" t="str">
        <f>'DASE DADOS - DISTANCIA'!I331</f>
        <v>PLUSVAL</v>
      </c>
      <c r="F331" s="7">
        <v>121</v>
      </c>
      <c r="G331">
        <f>'DASE DADOS - DISTANCIA'!J331</f>
        <v>242</v>
      </c>
      <c r="H331" s="2">
        <v>420</v>
      </c>
      <c r="I331" s="2" t="e">
        <f>IF(#REF!&lt;17200,DISTÂNCIA3[[#This Row],[KM PARA PAGAMENTO DOS FRETES]]*4.74,((#REF!/17200)*4.74)*DISTÂNCIA3[[#This Row],[KM PARA PAGAMENTO DOS FRETES]])</f>
        <v>#REF!</v>
      </c>
      <c r="J331" s="4">
        <f>DISTÂNCIA3[[#This Row],[Valor CTE]]/DISTÂNCIA3[[#This Row],[KM PARA PAGAMENTO DOS FRETES]]</f>
        <v>5.1983471074380168</v>
      </c>
      <c r="K331" s="6">
        <f t="shared" si="14"/>
        <v>748.38</v>
      </c>
      <c r="L331" s="6">
        <f>0.92*DISTÂNCIA3[[#This Row],[KM distancia]]*4.578</f>
        <v>509.62296000000009</v>
      </c>
      <c r="M331" s="6">
        <f t="shared" si="15"/>
        <v>1258</v>
      </c>
    </row>
    <row r="332" spans="1:13" hidden="1" x14ac:dyDescent="0.35">
      <c r="A332">
        <f>'DASE DADOS - DISTANCIA'!A332</f>
        <v>1122509</v>
      </c>
      <c r="B332" t="str">
        <f>'DASE DADOS - DISTANCIA'!B332</f>
        <v>FERNANDO WOLF</v>
      </c>
      <c r="C332" t="str">
        <f>'DASE DADOS - DISTANCIA'!C332</f>
        <v xml:space="preserve"> A2</v>
      </c>
      <c r="D332" t="str">
        <f>'DASE DADOS - DISTANCIA'!E332</f>
        <v>CAPANEMA</v>
      </c>
      <c r="E332" t="str">
        <f>'DASE DADOS - DISTANCIA'!I332</f>
        <v>PLUSVAL</v>
      </c>
      <c r="F332" s="7">
        <v>121</v>
      </c>
      <c r="G332">
        <f>'DASE DADOS - DISTANCIA'!J332</f>
        <v>242</v>
      </c>
      <c r="H332" s="2">
        <v>420</v>
      </c>
      <c r="I332" s="2" t="e">
        <f>IF(#REF!&lt;17200,DISTÂNCIA3[[#This Row],[KM PARA PAGAMENTO DOS FRETES]]*4.74,((#REF!/17200)*4.74)*DISTÂNCIA3[[#This Row],[KM PARA PAGAMENTO DOS FRETES]])</f>
        <v>#REF!</v>
      </c>
      <c r="J332" s="4">
        <f>DISTÂNCIA3[[#This Row],[Valor CTE]]/DISTÂNCIA3[[#This Row],[KM PARA PAGAMENTO DOS FRETES]]</f>
        <v>5.1983471074380168</v>
      </c>
      <c r="K332" s="6">
        <f t="shared" si="14"/>
        <v>748.38</v>
      </c>
      <c r="L332" s="6">
        <f>0.92*DISTÂNCIA3[[#This Row],[KM distancia]]*4.578</f>
        <v>509.62296000000009</v>
      </c>
      <c r="M332" s="6">
        <f t="shared" si="15"/>
        <v>1258</v>
      </c>
    </row>
    <row r="333" spans="1:13" hidden="1" x14ac:dyDescent="0.35">
      <c r="A333">
        <f>'DASE DADOS - DISTANCIA'!A333</f>
        <v>0</v>
      </c>
      <c r="B333" t="str">
        <f>'DASE DADOS - DISTANCIA'!B333</f>
        <v>EUDES JOSE DALLAGNOL</v>
      </c>
      <c r="C333" t="str">
        <f>'DASE DADOS - DISTANCIA'!C333</f>
        <v xml:space="preserve"> A1</v>
      </c>
      <c r="D333" t="str">
        <f>'DASE DADOS - DISTANCIA'!E333</f>
        <v>TOLEDO</v>
      </c>
      <c r="E333" t="str">
        <f>'DASE DADOS - DISTANCIA'!I333</f>
        <v>PLUMA</v>
      </c>
      <c r="F333" s="7">
        <v>64.5</v>
      </c>
      <c r="G333">
        <f>'DASE DADOS - DISTANCIA'!J333</f>
        <v>129</v>
      </c>
      <c r="H333" s="2">
        <v>420</v>
      </c>
      <c r="I333" s="2" t="e">
        <f>IF(#REF!&lt;17200,DISTÂNCIA3[[#This Row],[KM PARA PAGAMENTO DOS FRETES]]*4.74,((#REF!/17200)*4.74)*DISTÂNCIA3[[#This Row],[KM PARA PAGAMENTO DOS FRETES]])</f>
        <v>#REF!</v>
      </c>
      <c r="J333" s="4">
        <f>DISTÂNCIA3[[#This Row],[Valor CTE]]/DISTÂNCIA3[[#This Row],[KM PARA PAGAMENTO DOS FRETES]]</f>
        <v>5.902170542635659</v>
      </c>
      <c r="K333" s="6">
        <f t="shared" si="14"/>
        <v>489.72</v>
      </c>
      <c r="L333" s="6">
        <f>0.92*DISTÂNCIA3[[#This Row],[KM distancia]]*4.578</f>
        <v>271.65852000000001</v>
      </c>
      <c r="M333" s="6">
        <f t="shared" si="15"/>
        <v>761.38</v>
      </c>
    </row>
    <row r="334" spans="1:13" hidden="1" x14ac:dyDescent="0.35">
      <c r="A334">
        <f>'DASE DADOS - DISTANCIA'!A334</f>
        <v>0</v>
      </c>
      <c r="B334" t="str">
        <f>'DASE DADOS - DISTANCIA'!B334</f>
        <v>EUDES JOSE DALLAGNOL</v>
      </c>
      <c r="C334" t="str">
        <f>'DASE DADOS - DISTANCIA'!C334</f>
        <v xml:space="preserve"> A2</v>
      </c>
      <c r="D334" t="str">
        <f>'DASE DADOS - DISTANCIA'!E334</f>
        <v>TOLEDO</v>
      </c>
      <c r="E334" t="str">
        <f>'DASE DADOS - DISTANCIA'!I334</f>
        <v>PLUMA</v>
      </c>
      <c r="F334" s="7">
        <v>64.5</v>
      </c>
      <c r="G334">
        <f>'DASE DADOS - DISTANCIA'!J334</f>
        <v>129</v>
      </c>
      <c r="H334" s="2">
        <v>420</v>
      </c>
      <c r="I334" s="2" t="e">
        <f>IF(#REF!&lt;17200,DISTÂNCIA3[[#This Row],[KM PARA PAGAMENTO DOS FRETES]]*4.74,((#REF!/17200)*4.74)*DISTÂNCIA3[[#This Row],[KM PARA PAGAMENTO DOS FRETES]])</f>
        <v>#REF!</v>
      </c>
      <c r="J334" s="4">
        <f>DISTÂNCIA3[[#This Row],[Valor CTE]]/DISTÂNCIA3[[#This Row],[KM PARA PAGAMENTO DOS FRETES]]</f>
        <v>5.902170542635659</v>
      </c>
      <c r="K334" s="6">
        <f t="shared" si="14"/>
        <v>489.72</v>
      </c>
      <c r="L334" s="6">
        <f>0.92*DISTÂNCIA3[[#This Row],[KM distancia]]*4.578</f>
        <v>271.65852000000001</v>
      </c>
      <c r="M334" s="6">
        <f t="shared" si="15"/>
        <v>761.38</v>
      </c>
    </row>
    <row r="335" spans="1:13" hidden="1" x14ac:dyDescent="0.35">
      <c r="A335">
        <f>'DASE DADOS - DISTANCIA'!A335</f>
        <v>30346</v>
      </c>
      <c r="B335" t="str">
        <f>'DASE DADOS - DISTANCIA'!B335</f>
        <v>GELSON EDERSON GUERRA</v>
      </c>
      <c r="C335" t="str">
        <f>'DASE DADOS - DISTANCIA'!C335</f>
        <v xml:space="preserve"> A1</v>
      </c>
      <c r="D335" t="str">
        <f>'DASE DADOS - DISTANCIA'!E335</f>
        <v>CAPANEMA</v>
      </c>
      <c r="E335" t="str">
        <f>'DASE DADOS - DISTANCIA'!I335</f>
        <v>PLUSVAL</v>
      </c>
      <c r="F335" s="7">
        <v>105</v>
      </c>
      <c r="G335">
        <f>'DASE DADOS - DISTANCIA'!J335</f>
        <v>210</v>
      </c>
      <c r="H335" s="2">
        <v>420</v>
      </c>
      <c r="I335" s="2" t="e">
        <f>IF(#REF!&lt;17200,DISTÂNCIA3[[#This Row],[KM PARA PAGAMENTO DOS FRETES]]*4.74,((#REF!/17200)*4.74)*DISTÂNCIA3[[#This Row],[KM PARA PAGAMENTO DOS FRETES]])</f>
        <v>#REF!</v>
      </c>
      <c r="J335" s="4">
        <f>DISTÂNCIA3[[#This Row],[Valor CTE]]/DISTÂNCIA3[[#This Row],[KM PARA PAGAMENTO DOS FRETES]]</f>
        <v>5.3207619047619046</v>
      </c>
      <c r="K335" s="6">
        <f>ROUND((F335*4.578)+194.44,2)</f>
        <v>675.13</v>
      </c>
      <c r="L335" s="6">
        <f>0.92*DISTÂNCIA3[[#This Row],[KM distancia]]*4.578</f>
        <v>442.23480000000006</v>
      </c>
      <c r="M335" s="6">
        <f>ROUND(((F335*4.578)+194.44)+(0.92*F335*4.578),2)</f>
        <v>1117.3599999999999</v>
      </c>
    </row>
    <row r="336" spans="1:13" hidden="1" x14ac:dyDescent="0.35">
      <c r="A336">
        <f>'DASE DADOS - DISTANCIA'!A336</f>
        <v>30346</v>
      </c>
      <c r="B336" t="str">
        <f>'DASE DADOS - DISTANCIA'!B336</f>
        <v>GELSON EDERSON GUERRA</v>
      </c>
      <c r="C336" t="str">
        <f>'DASE DADOS - DISTANCIA'!C336</f>
        <v xml:space="preserve"> A2</v>
      </c>
      <c r="D336" t="str">
        <f>'DASE DADOS - DISTANCIA'!E336</f>
        <v>CAPANEMA</v>
      </c>
      <c r="E336" t="str">
        <f>'DASE DADOS - DISTANCIA'!I336</f>
        <v>PLUSVAL</v>
      </c>
      <c r="F336" s="7">
        <v>105</v>
      </c>
      <c r="G336">
        <f>'DASE DADOS - DISTANCIA'!J336</f>
        <v>210</v>
      </c>
      <c r="H336" s="2">
        <v>420</v>
      </c>
      <c r="I336" s="2" t="e">
        <f>IF(#REF!&lt;17200,DISTÂNCIA3[[#This Row],[KM PARA PAGAMENTO DOS FRETES]]*4.74,((#REF!/17200)*4.74)*DISTÂNCIA3[[#This Row],[KM PARA PAGAMENTO DOS FRETES]])</f>
        <v>#REF!</v>
      </c>
      <c r="J336" s="4">
        <f>DISTÂNCIA3[[#This Row],[Valor CTE]]/DISTÂNCIA3[[#This Row],[KM PARA PAGAMENTO DOS FRETES]]</f>
        <v>5.3207619047619046</v>
      </c>
      <c r="K336" s="6">
        <f>ROUND((F336*4.578)+194.44,2)</f>
        <v>675.13</v>
      </c>
      <c r="L336" s="6">
        <f>0.92*DISTÂNCIA3[[#This Row],[KM distancia]]*4.578</f>
        <v>442.23480000000006</v>
      </c>
      <c r="M336" s="6">
        <f>ROUND(((F336*4.578)+194.44)+(0.92*F336*4.578),2)</f>
        <v>1117.3599999999999</v>
      </c>
    </row>
    <row r="337" spans="1:13" hidden="1" x14ac:dyDescent="0.35">
      <c r="A337">
        <f>'DASE DADOS - DISTANCIA'!A337</f>
        <v>4346017</v>
      </c>
      <c r="B337" t="str">
        <f>'DASE DADOS - DISTANCIA'!B337</f>
        <v>GENUIR ANTONIO NODARI</v>
      </c>
      <c r="C337" t="str">
        <f>'DASE DADOS - DISTANCIA'!C337</f>
        <v xml:space="preserve"> A3</v>
      </c>
      <c r="D337" t="str">
        <f>'DASE DADOS - DISTANCIA'!E337</f>
        <v>TOLEDO</v>
      </c>
      <c r="E337" t="str">
        <f>'DASE DADOS - DISTANCIA'!I337</f>
        <v>PLUMA</v>
      </c>
      <c r="F337" s="7">
        <v>55</v>
      </c>
      <c r="G337">
        <f>'DASE DADOS - DISTANCIA'!J337</f>
        <v>110</v>
      </c>
      <c r="H337" s="2">
        <v>420</v>
      </c>
      <c r="I337" s="2" t="e">
        <f>IF(#REF!&lt;17200,DISTÂNCIA3[[#This Row],[KM PARA PAGAMENTO DOS FRETES]]*4.74,((#REF!/17200)*4.74)*DISTÂNCIA3[[#This Row],[KM PARA PAGAMENTO DOS FRETES]])</f>
        <v>#REF!</v>
      </c>
      <c r="J337" s="4">
        <f>DISTÂNCIA3[[#This Row],[Valor CTE]]/DISTÂNCIA3[[#This Row],[KM PARA PAGAMENTO DOS FRETES]]</f>
        <v>6.1625454545454543</v>
      </c>
      <c r="K337" s="6">
        <f t="shared" si="14"/>
        <v>446.23</v>
      </c>
      <c r="L337" s="6">
        <f>0.92*DISTÂNCIA3[[#This Row],[KM distancia]]*4.578</f>
        <v>231.64680000000001</v>
      </c>
      <c r="M337" s="6">
        <f t="shared" si="15"/>
        <v>677.88</v>
      </c>
    </row>
    <row r="338" spans="1:13" hidden="1" x14ac:dyDescent="0.35">
      <c r="A338">
        <f>'DASE DADOS - DISTANCIA'!A338</f>
        <v>4346017</v>
      </c>
      <c r="B338" t="str">
        <f>'DASE DADOS - DISTANCIA'!B338</f>
        <v>GENUIR ANTONIO NODARI</v>
      </c>
      <c r="C338" t="str">
        <f>'DASE DADOS - DISTANCIA'!C338</f>
        <v xml:space="preserve"> A2</v>
      </c>
      <c r="D338" t="str">
        <f>'DASE DADOS - DISTANCIA'!E338</f>
        <v>TOLEDO</v>
      </c>
      <c r="E338" t="str">
        <f>'DASE DADOS - DISTANCIA'!I338</f>
        <v>PLUMA</v>
      </c>
      <c r="F338" s="7">
        <v>55</v>
      </c>
      <c r="G338">
        <f>'DASE DADOS - DISTANCIA'!J338</f>
        <v>110</v>
      </c>
      <c r="H338" s="2">
        <v>420</v>
      </c>
      <c r="I338" s="2" t="e">
        <f>IF(#REF!&lt;17200,DISTÂNCIA3[[#This Row],[KM PARA PAGAMENTO DOS FRETES]]*4.74,((#REF!/17200)*4.74)*DISTÂNCIA3[[#This Row],[KM PARA PAGAMENTO DOS FRETES]])</f>
        <v>#REF!</v>
      </c>
      <c r="J338" s="4">
        <f>DISTÂNCIA3[[#This Row],[Valor CTE]]/DISTÂNCIA3[[#This Row],[KM PARA PAGAMENTO DOS FRETES]]</f>
        <v>6.1625454545454543</v>
      </c>
      <c r="K338" s="6">
        <f t="shared" si="14"/>
        <v>446.23</v>
      </c>
      <c r="L338" s="6">
        <f>0.92*DISTÂNCIA3[[#This Row],[KM distancia]]*4.578</f>
        <v>231.64680000000001</v>
      </c>
      <c r="M338" s="6">
        <f t="shared" si="15"/>
        <v>677.88</v>
      </c>
    </row>
    <row r="339" spans="1:13" hidden="1" x14ac:dyDescent="0.35">
      <c r="A339">
        <f>'DASE DADOS - DISTANCIA'!A339</f>
        <v>4346017</v>
      </c>
      <c r="B339" t="str">
        <f>'DASE DADOS - DISTANCIA'!B339</f>
        <v>GENUIR ANTONIO NODARI</v>
      </c>
      <c r="C339" t="str">
        <f>'DASE DADOS - DISTANCIA'!C339</f>
        <v xml:space="preserve"> A1</v>
      </c>
      <c r="D339" t="str">
        <f>'DASE DADOS - DISTANCIA'!E339</f>
        <v>TOLEDO</v>
      </c>
      <c r="E339" t="str">
        <f>'DASE DADOS - DISTANCIA'!I339</f>
        <v>PLUMA</v>
      </c>
      <c r="F339" s="7">
        <v>55</v>
      </c>
      <c r="G339">
        <f>'DASE DADOS - DISTANCIA'!J339</f>
        <v>110</v>
      </c>
      <c r="H339" s="2">
        <v>420</v>
      </c>
      <c r="I339" s="2" t="e">
        <f>IF(#REF!&lt;17200,DISTÂNCIA3[[#This Row],[KM PARA PAGAMENTO DOS FRETES]]*4.74,((#REF!/17200)*4.74)*DISTÂNCIA3[[#This Row],[KM PARA PAGAMENTO DOS FRETES]])</f>
        <v>#REF!</v>
      </c>
      <c r="J339" s="4">
        <f>DISTÂNCIA3[[#This Row],[Valor CTE]]/DISTÂNCIA3[[#This Row],[KM PARA PAGAMENTO DOS FRETES]]</f>
        <v>6.1625454545454543</v>
      </c>
      <c r="K339" s="6">
        <f t="shared" si="14"/>
        <v>446.23</v>
      </c>
      <c r="L339" s="6">
        <f>0.92*DISTÂNCIA3[[#This Row],[KM distancia]]*4.578</f>
        <v>231.64680000000001</v>
      </c>
      <c r="M339" s="6">
        <f t="shared" si="15"/>
        <v>677.88</v>
      </c>
    </row>
    <row r="340" spans="1:13" hidden="1" x14ac:dyDescent="0.35">
      <c r="A340">
        <f>'DASE DADOS - DISTANCIA'!A340</f>
        <v>6410146</v>
      </c>
      <c r="B340" t="str">
        <f>'DASE DADOS - DISTANCIA'!B340</f>
        <v>GERALDO CARLOS MACHADO</v>
      </c>
      <c r="C340" t="str">
        <f>'DASE DADOS - DISTANCIA'!C340</f>
        <v xml:space="preserve"> A2</v>
      </c>
      <c r="D340" t="str">
        <f>'DASE DADOS - DISTANCIA'!E340</f>
        <v>TOLEDO</v>
      </c>
      <c r="E340" t="str">
        <f>'DASE DADOS - DISTANCIA'!I340</f>
        <v>PLUMA</v>
      </c>
      <c r="F340" s="7">
        <v>72</v>
      </c>
      <c r="G340">
        <f>'DASE DADOS - DISTANCIA'!J340</f>
        <v>144</v>
      </c>
      <c r="H340" s="2">
        <v>420</v>
      </c>
      <c r="I340" s="2" t="e">
        <f>IF(#REF!&lt;17200,DISTÂNCIA3[[#This Row],[KM PARA PAGAMENTO DOS FRETES]]*4.74,((#REF!/17200)*4.74)*DISTÂNCIA3[[#This Row],[KM PARA PAGAMENTO DOS FRETES]])</f>
        <v>#REF!</v>
      </c>
      <c r="J340" s="4">
        <f>DISTÂNCIA3[[#This Row],[Valor CTE]]/DISTÂNCIA3[[#This Row],[KM PARA PAGAMENTO DOS FRETES]]</f>
        <v>5.7451388888888886</v>
      </c>
      <c r="K340" s="6">
        <f t="shared" si="14"/>
        <v>524.05999999999995</v>
      </c>
      <c r="L340" s="6">
        <f>0.92*DISTÂNCIA3[[#This Row],[KM distancia]]*4.578</f>
        <v>303.24672000000004</v>
      </c>
      <c r="M340" s="6">
        <f t="shared" si="15"/>
        <v>827.3</v>
      </c>
    </row>
    <row r="341" spans="1:13" hidden="1" x14ac:dyDescent="0.35">
      <c r="A341">
        <f>'DASE DADOS - DISTANCIA'!A341</f>
        <v>6410146</v>
      </c>
      <c r="B341" t="str">
        <f>'DASE DADOS - DISTANCIA'!B341</f>
        <v>GERALDO CARLOS MACHADO</v>
      </c>
      <c r="C341" t="str">
        <f>'DASE DADOS - DISTANCIA'!C341</f>
        <v xml:space="preserve"> A1</v>
      </c>
      <c r="D341" t="str">
        <f>'DASE DADOS - DISTANCIA'!E341</f>
        <v>TOLEDO</v>
      </c>
      <c r="E341" t="str">
        <f>'DASE DADOS - DISTANCIA'!I341</f>
        <v>PLUMA</v>
      </c>
      <c r="F341" s="7">
        <v>72</v>
      </c>
      <c r="G341">
        <f>'DASE DADOS - DISTANCIA'!J341</f>
        <v>144</v>
      </c>
      <c r="H341" s="2">
        <v>420</v>
      </c>
      <c r="I341" s="2" t="e">
        <f>IF(#REF!&lt;17200,DISTÂNCIA3[[#This Row],[KM PARA PAGAMENTO DOS FRETES]]*4.74,((#REF!/17200)*4.74)*DISTÂNCIA3[[#This Row],[KM PARA PAGAMENTO DOS FRETES]])</f>
        <v>#REF!</v>
      </c>
      <c r="J341" s="4">
        <f>DISTÂNCIA3[[#This Row],[Valor CTE]]/DISTÂNCIA3[[#This Row],[KM PARA PAGAMENTO DOS FRETES]]</f>
        <v>5.7451388888888886</v>
      </c>
      <c r="K341" s="6">
        <f t="shared" si="14"/>
        <v>524.05999999999995</v>
      </c>
      <c r="L341" s="6">
        <f>0.92*DISTÂNCIA3[[#This Row],[KM distancia]]*4.578</f>
        <v>303.24672000000004</v>
      </c>
      <c r="M341" s="6">
        <f t="shared" si="15"/>
        <v>827.3</v>
      </c>
    </row>
    <row r="342" spans="1:13" hidden="1" x14ac:dyDescent="0.35">
      <c r="A342">
        <f>'DASE DADOS - DISTANCIA'!A342</f>
        <v>0</v>
      </c>
      <c r="B342" t="str">
        <f>'DASE DADOS - DISTANCIA'!B342</f>
        <v>EVANDRO RODRIGO SILVA</v>
      </c>
      <c r="C342" t="str">
        <f>'DASE DADOS - DISTANCIA'!C342</f>
        <v xml:space="preserve"> A1</v>
      </c>
      <c r="D342" t="str">
        <f>'DASE DADOS - DISTANCIA'!E342</f>
        <v>PLANALTO</v>
      </c>
      <c r="E342" t="str">
        <f>'DASE DADOS - DISTANCIA'!I342</f>
        <v>PLUSVAL</v>
      </c>
      <c r="F342" s="7">
        <v>121.5</v>
      </c>
      <c r="G342">
        <f>'DASE DADOS - DISTANCIA'!J342</f>
        <v>243</v>
      </c>
      <c r="H342" s="2">
        <v>420</v>
      </c>
      <c r="I342" s="2" t="e">
        <f>IF(#REF!&lt;17200,DISTÂNCIA3[[#This Row],[KM PARA PAGAMENTO DOS FRETES]]*4.74,((#REF!/17200)*4.74)*DISTÂNCIA3[[#This Row],[KM PARA PAGAMENTO DOS FRETES]])</f>
        <v>#REF!</v>
      </c>
      <c r="J342" s="4">
        <f>DISTÂNCIA3[[#This Row],[Valor CTE]]/DISTÂNCIA3[[#This Row],[KM PARA PAGAMENTO DOS FRETES]]</f>
        <v>5.1950617283950624</v>
      </c>
      <c r="K342" s="6">
        <f t="shared" si="14"/>
        <v>750.67</v>
      </c>
      <c r="L342" s="6">
        <f>0.92*DISTÂNCIA3[[#This Row],[KM distancia]]*4.578</f>
        <v>511.72884000000005</v>
      </c>
      <c r="M342" s="6">
        <f t="shared" si="15"/>
        <v>1262.4000000000001</v>
      </c>
    </row>
    <row r="343" spans="1:13" hidden="1" x14ac:dyDescent="0.35">
      <c r="A343">
        <f>'DASE DADOS - DISTANCIA'!A343</f>
        <v>0</v>
      </c>
      <c r="B343" t="str">
        <f>'DASE DADOS - DISTANCIA'!B343</f>
        <v>ADEMIR LUCHT</v>
      </c>
      <c r="C343" t="str">
        <f>'DASE DADOS - DISTANCIA'!C343</f>
        <v xml:space="preserve"> A1</v>
      </c>
      <c r="D343" t="str">
        <f>'DASE DADOS - DISTANCIA'!E343</f>
        <v>TOLEDO</v>
      </c>
      <c r="E343" t="str">
        <f>'DASE DADOS - DISTANCIA'!I343</f>
        <v>PLUMA</v>
      </c>
      <c r="F343" s="7">
        <v>68.5</v>
      </c>
      <c r="G343">
        <v>137</v>
      </c>
      <c r="H343" s="2">
        <v>420</v>
      </c>
      <c r="I343" s="2" t="e">
        <f>IF(#REF!&lt;17200,DISTÂNCIA3[[#This Row],[KM PARA PAGAMENTO DOS FRETES]]*4.74,((#REF!/17200)*4.74)*DISTÂNCIA3[[#This Row],[KM PARA PAGAMENTO DOS FRETES]])</f>
        <v>#REF!</v>
      </c>
      <c r="J343" s="4">
        <f>DISTÂNCIA3[[#This Row],[Valor CTE]]/DISTÂNCIA3[[#This Row],[KM PARA PAGAMENTO DOS FRETES]]</f>
        <v>5.8141605839416055</v>
      </c>
      <c r="K343" s="6">
        <f t="shared" si="14"/>
        <v>508.03</v>
      </c>
      <c r="L343" s="6">
        <f>0.92*DISTÂNCIA3[[#This Row],[KM distancia]]*4.578</f>
        <v>288.50556000000006</v>
      </c>
      <c r="M343" s="6">
        <f t="shared" si="15"/>
        <v>796.54</v>
      </c>
    </row>
    <row r="344" spans="1:13" hidden="1" x14ac:dyDescent="0.35">
      <c r="A344">
        <f>'DASE DADOS - DISTANCIA'!A344</f>
        <v>5731941</v>
      </c>
      <c r="B344" t="str">
        <f>'DASE DADOS - DISTANCIA'!B344</f>
        <v>GILBERTO CARMO PATZOLD</v>
      </c>
      <c r="C344" t="str">
        <f>'DASE DADOS - DISTANCIA'!C344</f>
        <v xml:space="preserve"> A2</v>
      </c>
      <c r="D344" t="str">
        <f>'DASE DADOS - DISTANCIA'!E344</f>
        <v>CASCAVEL</v>
      </c>
      <c r="E344" t="str">
        <f>'DASE DADOS - DISTANCIA'!I344</f>
        <v>PLUMA</v>
      </c>
      <c r="F344" s="7">
        <v>31</v>
      </c>
      <c r="G344">
        <f>'DASE DADOS - DISTANCIA'!J344</f>
        <v>62</v>
      </c>
      <c r="H344" s="2">
        <v>420</v>
      </c>
      <c r="I344" s="2" t="e">
        <f>IF(#REF!&lt;17200,DISTÂNCIA3[[#This Row],[KM PARA PAGAMENTO DOS FRETES]]*4.74,((#REF!/17200)*4.74)*DISTÂNCIA3[[#This Row],[KM PARA PAGAMENTO DOS FRETES]])</f>
        <v>#REF!</v>
      </c>
      <c r="J344" s="4">
        <f>DISTÂNCIA3[[#This Row],[Valor CTE]]/DISTÂNCIA3[[#This Row],[KM PARA PAGAMENTO DOS FRETES]]</f>
        <v>7.5309677419354841</v>
      </c>
      <c r="K344" s="6">
        <f t="shared" si="14"/>
        <v>336.36</v>
      </c>
      <c r="L344" s="6">
        <f>0.92*DISTÂNCIA3[[#This Row],[KM distancia]]*4.578</f>
        <v>130.56456</v>
      </c>
      <c r="M344" s="6">
        <f t="shared" si="15"/>
        <v>466.92</v>
      </c>
    </row>
    <row r="345" spans="1:13" hidden="1" x14ac:dyDescent="0.35">
      <c r="A345">
        <f>'DASE DADOS - DISTANCIA'!A345</f>
        <v>5731941</v>
      </c>
      <c r="B345" t="str">
        <f>'DASE DADOS - DISTANCIA'!B345</f>
        <v>GILBERTO CARMO PATZOLD</v>
      </c>
      <c r="C345" t="str">
        <f>'DASE DADOS - DISTANCIA'!C345</f>
        <v xml:space="preserve"> A7</v>
      </c>
      <c r="D345" t="str">
        <f>'DASE DADOS - DISTANCIA'!E345</f>
        <v>CASCAVEL</v>
      </c>
      <c r="E345" t="str">
        <f>'DASE DADOS - DISTANCIA'!I345</f>
        <v>PLUMA</v>
      </c>
      <c r="F345" s="7">
        <v>31</v>
      </c>
      <c r="G345">
        <f>'DASE DADOS - DISTANCIA'!J345</f>
        <v>62</v>
      </c>
      <c r="H345" s="2">
        <v>420</v>
      </c>
      <c r="I345" s="2" t="e">
        <f>IF(#REF!&lt;17200,DISTÂNCIA3[[#This Row],[KM PARA PAGAMENTO DOS FRETES]]*4.74,((#REF!/17200)*4.74)*DISTÂNCIA3[[#This Row],[KM PARA PAGAMENTO DOS FRETES]])</f>
        <v>#REF!</v>
      </c>
      <c r="J345" s="4">
        <f>DISTÂNCIA3[[#This Row],[Valor CTE]]/DISTÂNCIA3[[#This Row],[KM PARA PAGAMENTO DOS FRETES]]</f>
        <v>7.5309677419354841</v>
      </c>
      <c r="K345" s="6">
        <f t="shared" si="14"/>
        <v>336.36</v>
      </c>
      <c r="L345" s="6">
        <f>0.92*DISTÂNCIA3[[#This Row],[KM distancia]]*4.578</f>
        <v>130.56456</v>
      </c>
      <c r="M345" s="6">
        <f t="shared" si="15"/>
        <v>466.92</v>
      </c>
    </row>
    <row r="346" spans="1:13" hidden="1" x14ac:dyDescent="0.35">
      <c r="A346">
        <f>'DASE DADOS - DISTANCIA'!A346</f>
        <v>30061</v>
      </c>
      <c r="B346" t="str">
        <f>'DASE DADOS - DISTANCIA'!B346</f>
        <v>HELIO CELSO CHECOSSI</v>
      </c>
      <c r="C346" t="str">
        <f>'DASE DADOS - DISTANCIA'!C346</f>
        <v xml:space="preserve"> A1</v>
      </c>
      <c r="D346" t="str">
        <f>'DASE DADOS - DISTANCIA'!E346</f>
        <v>TRÊS BARRAS DO PARANÁ</v>
      </c>
      <c r="E346" t="str">
        <f>'DASE DADOS - DISTANCIA'!I346</f>
        <v>PLUSVAL</v>
      </c>
      <c r="F346" s="7">
        <v>111.5</v>
      </c>
      <c r="G346">
        <f>'DASE DADOS - DISTANCIA'!J346</f>
        <v>223</v>
      </c>
      <c r="H346" s="2">
        <v>420</v>
      </c>
      <c r="I346" s="2" t="e">
        <f>IF(#REF!&lt;17200,DISTÂNCIA3[[#This Row],[KM PARA PAGAMENTO DOS FRETES]]*4.74,((#REF!/17200)*4.74)*DISTÂNCIA3[[#This Row],[KM PARA PAGAMENTO DOS FRETES]])</f>
        <v>#REF!</v>
      </c>
      <c r="J346" s="4">
        <f>DISTÂNCIA3[[#This Row],[Valor CTE]]/DISTÂNCIA3[[#This Row],[KM PARA PAGAMENTO DOS FRETES]]</f>
        <v>5.2668161434977581</v>
      </c>
      <c r="K346" s="6">
        <f t="shared" si="14"/>
        <v>704.89</v>
      </c>
      <c r="L346" s="6">
        <f>0.92*DISTÂNCIA3[[#This Row],[KM distancia]]*4.578</f>
        <v>469.61124000000001</v>
      </c>
      <c r="M346" s="6">
        <f t="shared" si="15"/>
        <v>1174.5</v>
      </c>
    </row>
    <row r="347" spans="1:13" hidden="1" x14ac:dyDescent="0.35">
      <c r="A347">
        <f>'DASE DADOS - DISTANCIA'!A347</f>
        <v>5731941</v>
      </c>
      <c r="B347" t="str">
        <f>'DASE DADOS - DISTANCIA'!B347</f>
        <v>GILBERTO CARMO PATZOLD</v>
      </c>
      <c r="C347" t="str">
        <f>'DASE DADOS - DISTANCIA'!C347</f>
        <v xml:space="preserve"> A6</v>
      </c>
      <c r="D347" t="str">
        <f>'DASE DADOS - DISTANCIA'!E347</f>
        <v>CASCAVEL</v>
      </c>
      <c r="E347" t="str">
        <f>'DASE DADOS - DISTANCIA'!I347</f>
        <v>PLUMA</v>
      </c>
      <c r="F347" s="7">
        <v>31</v>
      </c>
      <c r="G347">
        <f>'DASE DADOS - DISTANCIA'!J347</f>
        <v>62</v>
      </c>
      <c r="H347" s="2">
        <v>420</v>
      </c>
      <c r="I347" s="2" t="e">
        <f>IF(#REF!&lt;17200,DISTÂNCIA3[[#This Row],[KM PARA PAGAMENTO DOS FRETES]]*4.74,((#REF!/17200)*4.74)*DISTÂNCIA3[[#This Row],[KM PARA PAGAMENTO DOS FRETES]])</f>
        <v>#REF!</v>
      </c>
      <c r="J347" s="4">
        <f>DISTÂNCIA3[[#This Row],[Valor CTE]]/DISTÂNCIA3[[#This Row],[KM PARA PAGAMENTO DOS FRETES]]</f>
        <v>7.5309677419354841</v>
      </c>
      <c r="K347" s="6">
        <f t="shared" si="14"/>
        <v>336.36</v>
      </c>
      <c r="L347" s="6">
        <f>0.92*DISTÂNCIA3[[#This Row],[KM distancia]]*4.578</f>
        <v>130.56456</v>
      </c>
      <c r="M347" s="6">
        <f t="shared" si="15"/>
        <v>466.92</v>
      </c>
    </row>
    <row r="348" spans="1:13" hidden="1" x14ac:dyDescent="0.35">
      <c r="A348">
        <f>'DASE DADOS - DISTANCIA'!A348</f>
        <v>30666</v>
      </c>
      <c r="B348" t="str">
        <f>'DASE DADOS - DISTANCIA'!B348</f>
        <v>HELMUTH SCHNEIDER</v>
      </c>
      <c r="C348" t="str">
        <f>'DASE DADOS - DISTANCIA'!C348</f>
        <v xml:space="preserve"> A1</v>
      </c>
      <c r="D348" t="str">
        <f>'DASE DADOS - DISTANCIA'!E348</f>
        <v>CAPANEMA</v>
      </c>
      <c r="E348" t="str">
        <f>'DASE DADOS - DISTANCIA'!I348</f>
        <v>PLUSVAL</v>
      </c>
      <c r="F348" s="7">
        <v>131.5</v>
      </c>
      <c r="G348">
        <f>'DASE DADOS - DISTANCIA'!J348</f>
        <v>263</v>
      </c>
      <c r="H348" s="2">
        <v>420</v>
      </c>
      <c r="I348" s="2" t="e">
        <f>IF(#REF!&lt;17200,DISTÂNCIA3[[#This Row],[KM PARA PAGAMENTO DOS FRETES]]*4.74,((#REF!/17200)*4.74)*DISTÂNCIA3[[#This Row],[KM PARA PAGAMENTO DOS FRETES]])</f>
        <v>#REF!</v>
      </c>
      <c r="J348" s="4">
        <f>DISTÂNCIA3[[#This Row],[Valor CTE]]/DISTÂNCIA3[[#This Row],[KM PARA PAGAMENTO DOS FRETES]]</f>
        <v>5.1341825095057034</v>
      </c>
      <c r="K348" s="6">
        <f t="shared" si="14"/>
        <v>796.45</v>
      </c>
      <c r="L348" s="6">
        <f>0.92*DISTÂNCIA3[[#This Row],[KM distancia]]*4.578</f>
        <v>553.84644000000003</v>
      </c>
      <c r="M348" s="6">
        <f t="shared" si="15"/>
        <v>1350.29</v>
      </c>
    </row>
    <row r="349" spans="1:13" hidden="1" x14ac:dyDescent="0.35">
      <c r="A349">
        <f>'DASE DADOS - DISTANCIA'!A349</f>
        <v>5731941</v>
      </c>
      <c r="B349" t="str">
        <f>'DASE DADOS - DISTANCIA'!B349</f>
        <v>GILBERTO CARMO PATZOLD</v>
      </c>
      <c r="C349" t="str">
        <f>'DASE DADOS - DISTANCIA'!C349</f>
        <v xml:space="preserve"> A5</v>
      </c>
      <c r="D349" t="str">
        <f>'DASE DADOS - DISTANCIA'!E349</f>
        <v>CASCAVEL</v>
      </c>
      <c r="E349" t="str">
        <f>'DASE DADOS - DISTANCIA'!I349</f>
        <v>PLUMA</v>
      </c>
      <c r="F349" s="7">
        <v>31</v>
      </c>
      <c r="G349">
        <f>'DASE DADOS - DISTANCIA'!J349</f>
        <v>62</v>
      </c>
      <c r="H349" s="2">
        <v>420</v>
      </c>
      <c r="I349" s="2" t="e">
        <f>IF(#REF!&lt;17200,DISTÂNCIA3[[#This Row],[KM PARA PAGAMENTO DOS FRETES]]*4.74,((#REF!/17200)*4.74)*DISTÂNCIA3[[#This Row],[KM PARA PAGAMENTO DOS FRETES]])</f>
        <v>#REF!</v>
      </c>
      <c r="J349" s="4">
        <f>DISTÂNCIA3[[#This Row],[Valor CTE]]/DISTÂNCIA3[[#This Row],[KM PARA PAGAMENTO DOS FRETES]]</f>
        <v>7.5309677419354841</v>
      </c>
      <c r="K349" s="6">
        <f t="shared" si="14"/>
        <v>336.36</v>
      </c>
      <c r="L349" s="6">
        <f>0.92*DISTÂNCIA3[[#This Row],[KM distancia]]*4.578</f>
        <v>130.56456</v>
      </c>
      <c r="M349" s="6">
        <f t="shared" si="15"/>
        <v>466.92</v>
      </c>
    </row>
    <row r="350" spans="1:13" hidden="1" x14ac:dyDescent="0.35">
      <c r="A350">
        <f>'DASE DADOS - DISTANCIA'!A350</f>
        <v>30666</v>
      </c>
      <c r="B350" t="str">
        <f>'DASE DADOS - DISTANCIA'!B350</f>
        <v>HELMUTH SCHNEIDER</v>
      </c>
      <c r="C350" t="str">
        <f>'DASE DADOS - DISTANCIA'!C350</f>
        <v xml:space="preserve"> A2</v>
      </c>
      <c r="D350" t="str">
        <f>'DASE DADOS - DISTANCIA'!E350</f>
        <v>CAPANEMA</v>
      </c>
      <c r="E350" t="str">
        <f>'DASE DADOS - DISTANCIA'!I350</f>
        <v>PLUSVAL</v>
      </c>
      <c r="F350" s="7">
        <v>131.5</v>
      </c>
      <c r="G350">
        <f>'DASE DADOS - DISTANCIA'!J350</f>
        <v>263</v>
      </c>
      <c r="H350" s="2">
        <v>420</v>
      </c>
      <c r="I350" s="2" t="e">
        <f>IF(#REF!&lt;17200,DISTÂNCIA3[[#This Row],[KM PARA PAGAMENTO DOS FRETES]]*4.74,((#REF!/17200)*4.74)*DISTÂNCIA3[[#This Row],[KM PARA PAGAMENTO DOS FRETES]])</f>
        <v>#REF!</v>
      </c>
      <c r="J350" s="4">
        <f>DISTÂNCIA3[[#This Row],[Valor CTE]]/DISTÂNCIA3[[#This Row],[KM PARA PAGAMENTO DOS FRETES]]</f>
        <v>5.1341825095057034</v>
      </c>
      <c r="K350" s="6">
        <f t="shared" si="14"/>
        <v>796.45</v>
      </c>
      <c r="L350" s="6">
        <f>0.92*DISTÂNCIA3[[#This Row],[KM distancia]]*4.578</f>
        <v>553.84644000000003</v>
      </c>
      <c r="M350" s="6">
        <f t="shared" si="15"/>
        <v>1350.29</v>
      </c>
    </row>
    <row r="351" spans="1:13" hidden="1" x14ac:dyDescent="0.35">
      <c r="A351">
        <f>'DASE DADOS - DISTANCIA'!A351</f>
        <v>5731941</v>
      </c>
      <c r="B351" t="str">
        <f>'DASE DADOS - DISTANCIA'!B351</f>
        <v>GILBERTO CARMO PATZOLD</v>
      </c>
      <c r="C351" t="str">
        <f>'DASE DADOS - DISTANCIA'!C351</f>
        <v xml:space="preserve"> A4</v>
      </c>
      <c r="D351" t="str">
        <f>'DASE DADOS - DISTANCIA'!E351</f>
        <v>CASCAVEL</v>
      </c>
      <c r="E351" t="str">
        <f>'DASE DADOS - DISTANCIA'!I351</f>
        <v>PLUMA</v>
      </c>
      <c r="F351" s="7">
        <v>31</v>
      </c>
      <c r="G351">
        <f>'DASE DADOS - DISTANCIA'!J351</f>
        <v>62</v>
      </c>
      <c r="H351" s="2">
        <v>420</v>
      </c>
      <c r="I351" s="2" t="e">
        <f>IF(#REF!&lt;17200,DISTÂNCIA3[[#This Row],[KM PARA PAGAMENTO DOS FRETES]]*4.74,((#REF!/17200)*4.74)*DISTÂNCIA3[[#This Row],[KM PARA PAGAMENTO DOS FRETES]])</f>
        <v>#REF!</v>
      </c>
      <c r="J351" s="4">
        <f>DISTÂNCIA3[[#This Row],[Valor CTE]]/DISTÂNCIA3[[#This Row],[KM PARA PAGAMENTO DOS FRETES]]</f>
        <v>7.5309677419354841</v>
      </c>
      <c r="K351" s="6">
        <f t="shared" si="14"/>
        <v>336.36</v>
      </c>
      <c r="L351" s="6">
        <f>0.92*DISTÂNCIA3[[#This Row],[KM distancia]]*4.578</f>
        <v>130.56456</v>
      </c>
      <c r="M351" s="6">
        <f t="shared" si="15"/>
        <v>466.92</v>
      </c>
    </row>
    <row r="352" spans="1:13" hidden="1" x14ac:dyDescent="0.35">
      <c r="A352">
        <f>'DASE DADOS - DISTANCIA'!A352</f>
        <v>58421</v>
      </c>
      <c r="B352" t="str">
        <f>'DASE DADOS - DISTANCIA'!B352</f>
        <v>IVAN RICARDO LAZZAROTO</v>
      </c>
      <c r="C352" t="str">
        <f>'DASE DADOS - DISTANCIA'!C352</f>
        <v xml:space="preserve"> A1</v>
      </c>
      <c r="D352" t="str">
        <f>'DASE DADOS - DISTANCIA'!E352</f>
        <v>SANTO ANTÔNIO DO SUDOESTE</v>
      </c>
      <c r="E352" t="str">
        <f>'DASE DADOS - DISTANCIA'!I352</f>
        <v>PLUSVAL</v>
      </c>
      <c r="F352" s="7">
        <v>166.5</v>
      </c>
      <c r="G352">
        <f>'DASE DADOS - DISTANCIA'!J352</f>
        <v>333</v>
      </c>
      <c r="H352" s="2">
        <v>420</v>
      </c>
      <c r="I352" s="2" t="e">
        <f>IF(#REF!&lt;17200,DISTÂNCIA3[[#This Row],[KM PARA PAGAMENTO DOS FRETES]]*4.74,((#REF!/17200)*4.74)*DISTÂNCIA3[[#This Row],[KM PARA PAGAMENTO DOS FRETES]])</f>
        <v>#REF!</v>
      </c>
      <c r="J352" s="4">
        <f>DISTÂNCIA3[[#This Row],[Valor CTE]]/DISTÂNCIA3[[#This Row],[KM PARA PAGAMENTO DOS FRETES]]</f>
        <v>4.9787987987987989</v>
      </c>
      <c r="K352" s="6">
        <f t="shared" si="14"/>
        <v>956.68</v>
      </c>
      <c r="L352" s="6">
        <f>0.92*DISTÂNCIA3[[#This Row],[KM distancia]]*4.578</f>
        <v>701.25804000000005</v>
      </c>
      <c r="M352" s="6">
        <f t="shared" si="15"/>
        <v>1657.94</v>
      </c>
    </row>
    <row r="353" spans="1:13" hidden="1" x14ac:dyDescent="0.35">
      <c r="A353">
        <f>'DASE DADOS - DISTANCIA'!A353</f>
        <v>5731941</v>
      </c>
      <c r="B353" t="str">
        <f>'DASE DADOS - DISTANCIA'!B353</f>
        <v>GILBERTO CARMO PATZOLD</v>
      </c>
      <c r="C353" t="str">
        <f>'DASE DADOS - DISTANCIA'!C353</f>
        <v xml:space="preserve"> A1</v>
      </c>
      <c r="D353" t="str">
        <f>'DASE DADOS - DISTANCIA'!E353</f>
        <v>CASCAVEL</v>
      </c>
      <c r="E353" t="str">
        <f>'DASE DADOS - DISTANCIA'!I353</f>
        <v>PLUMA</v>
      </c>
      <c r="F353" s="7">
        <v>31</v>
      </c>
      <c r="G353">
        <f>'DASE DADOS - DISTANCIA'!J353</f>
        <v>62</v>
      </c>
      <c r="H353" s="2">
        <v>420</v>
      </c>
      <c r="I353" s="2" t="e">
        <f>IF(#REF!&lt;17200,DISTÂNCIA3[[#This Row],[KM PARA PAGAMENTO DOS FRETES]]*4.74,((#REF!/17200)*4.74)*DISTÂNCIA3[[#This Row],[KM PARA PAGAMENTO DOS FRETES]])</f>
        <v>#REF!</v>
      </c>
      <c r="J353" s="4">
        <f>DISTÂNCIA3[[#This Row],[Valor CTE]]/DISTÂNCIA3[[#This Row],[KM PARA PAGAMENTO DOS FRETES]]</f>
        <v>7.5309677419354841</v>
      </c>
      <c r="K353" s="6">
        <f t="shared" si="14"/>
        <v>336.36</v>
      </c>
      <c r="L353" s="6">
        <f>0.92*DISTÂNCIA3[[#This Row],[KM distancia]]*4.578</f>
        <v>130.56456</v>
      </c>
      <c r="M353" s="6">
        <f t="shared" si="15"/>
        <v>466.92</v>
      </c>
    </row>
    <row r="354" spans="1:13" hidden="1" x14ac:dyDescent="0.35">
      <c r="A354">
        <f>'DASE DADOS - DISTANCIA'!A354</f>
        <v>44341</v>
      </c>
      <c r="B354" t="str">
        <f>'DASE DADOS - DISTANCIA'!B354</f>
        <v>JOAO ROBERTO GASPARELO</v>
      </c>
      <c r="C354" t="str">
        <f>'DASE DADOS - DISTANCIA'!C354</f>
        <v xml:space="preserve"> A1</v>
      </c>
      <c r="D354" t="str">
        <f>'DASE DADOS - DISTANCIA'!E354</f>
        <v>BOA VISTA DA APARECIDA</v>
      </c>
      <c r="E354" t="str">
        <f>'DASE DADOS - DISTANCIA'!I354</f>
        <v>PLUSVAL</v>
      </c>
      <c r="F354" s="7">
        <v>69.5</v>
      </c>
      <c r="G354">
        <f>'DASE DADOS - DISTANCIA'!J354</f>
        <v>139</v>
      </c>
      <c r="H354" s="2">
        <v>420</v>
      </c>
      <c r="I354" s="2" t="e">
        <f>IF(#REF!&lt;17200,DISTÂNCIA3[[#This Row],[KM PARA PAGAMENTO DOS FRETES]]*4.74,((#REF!/17200)*4.74)*DISTÂNCIA3[[#This Row],[KM PARA PAGAMENTO DOS FRETES]])</f>
        <v>#REF!</v>
      </c>
      <c r="J354" s="4">
        <f>DISTÂNCIA3[[#This Row],[Valor CTE]]/DISTÂNCIA3[[#This Row],[KM PARA PAGAMENTO DOS FRETES]]</f>
        <v>5.793741007194245</v>
      </c>
      <c r="K354" s="6">
        <f t="shared" si="14"/>
        <v>512.61</v>
      </c>
      <c r="L354" s="6">
        <f>0.92*DISTÂNCIA3[[#This Row],[KM distancia]]*4.578</f>
        <v>292.71732000000003</v>
      </c>
      <c r="M354" s="6">
        <f t="shared" si="15"/>
        <v>805.33</v>
      </c>
    </row>
    <row r="355" spans="1:13" hidden="1" x14ac:dyDescent="0.35">
      <c r="A355">
        <f>'DASE DADOS - DISTANCIA'!A355</f>
        <v>5731941</v>
      </c>
      <c r="B355" t="str">
        <f>'DASE DADOS - DISTANCIA'!B355</f>
        <v>GILBERTO CARMO PATZOLD</v>
      </c>
      <c r="C355" t="str">
        <f>'DASE DADOS - DISTANCIA'!C355</f>
        <v xml:space="preserve"> A3</v>
      </c>
      <c r="D355" t="str">
        <f>'DASE DADOS - DISTANCIA'!E355</f>
        <v>CASCAVEL</v>
      </c>
      <c r="E355" t="str">
        <f>'DASE DADOS - DISTANCIA'!I355</f>
        <v>PLUMA</v>
      </c>
      <c r="F355" s="7">
        <v>31</v>
      </c>
      <c r="G355">
        <f>'DASE DADOS - DISTANCIA'!J355</f>
        <v>62</v>
      </c>
      <c r="H355" s="2">
        <v>420</v>
      </c>
      <c r="I355" s="2" t="e">
        <f>IF(#REF!&lt;17200,DISTÂNCIA3[[#This Row],[KM PARA PAGAMENTO DOS FRETES]]*4.74,((#REF!/17200)*4.74)*DISTÂNCIA3[[#This Row],[KM PARA PAGAMENTO DOS FRETES]])</f>
        <v>#REF!</v>
      </c>
      <c r="J355" s="4">
        <f>DISTÂNCIA3[[#This Row],[Valor CTE]]/DISTÂNCIA3[[#This Row],[KM PARA PAGAMENTO DOS FRETES]]</f>
        <v>7.5309677419354841</v>
      </c>
      <c r="K355" s="6">
        <f t="shared" si="14"/>
        <v>336.36</v>
      </c>
      <c r="L355" s="6">
        <f>0.92*DISTÂNCIA3[[#This Row],[KM distancia]]*4.578</f>
        <v>130.56456</v>
      </c>
      <c r="M355" s="6">
        <f t="shared" si="15"/>
        <v>466.92</v>
      </c>
    </row>
    <row r="356" spans="1:13" hidden="1" x14ac:dyDescent="0.35">
      <c r="A356">
        <f>'DASE DADOS - DISTANCIA'!A356</f>
        <v>44341</v>
      </c>
      <c r="B356" t="str">
        <f>'DASE DADOS - DISTANCIA'!B356</f>
        <v>JOAO ROBERTO GASPARELO</v>
      </c>
      <c r="C356" t="str">
        <f>'DASE DADOS - DISTANCIA'!C356</f>
        <v xml:space="preserve"> A2</v>
      </c>
      <c r="D356" t="str">
        <f>'DASE DADOS - DISTANCIA'!E356</f>
        <v>BOA VISTA DA APARECIDA</v>
      </c>
      <c r="E356" t="str">
        <f>'DASE DADOS - DISTANCIA'!I356</f>
        <v>PLUSVAL</v>
      </c>
      <c r="F356" s="7">
        <v>69.5</v>
      </c>
      <c r="G356">
        <f>'DASE DADOS - DISTANCIA'!J356</f>
        <v>139</v>
      </c>
      <c r="H356" s="2">
        <v>420</v>
      </c>
      <c r="I356" s="2" t="e">
        <f>IF(#REF!&lt;17200,DISTÂNCIA3[[#This Row],[KM PARA PAGAMENTO DOS FRETES]]*4.74,((#REF!/17200)*4.74)*DISTÂNCIA3[[#This Row],[KM PARA PAGAMENTO DOS FRETES]])</f>
        <v>#REF!</v>
      </c>
      <c r="J356" s="4">
        <f>DISTÂNCIA3[[#This Row],[Valor CTE]]/DISTÂNCIA3[[#This Row],[KM PARA PAGAMENTO DOS FRETES]]</f>
        <v>5.793741007194245</v>
      </c>
      <c r="K356" s="6">
        <f t="shared" si="14"/>
        <v>512.61</v>
      </c>
      <c r="L356" s="6">
        <f>0.92*DISTÂNCIA3[[#This Row],[KM distancia]]*4.578</f>
        <v>292.71732000000003</v>
      </c>
      <c r="M356" s="6">
        <f t="shared" si="15"/>
        <v>805.33</v>
      </c>
    </row>
    <row r="357" spans="1:13" hidden="1" x14ac:dyDescent="0.35">
      <c r="A357">
        <f>'DASE DADOS - DISTANCIA'!A357</f>
        <v>30059</v>
      </c>
      <c r="B357" t="str">
        <f>'DASE DADOS - DISTANCIA'!B357</f>
        <v>JONAS HERDMAN</v>
      </c>
      <c r="C357" t="str">
        <f>'DASE DADOS - DISTANCIA'!C357</f>
        <v xml:space="preserve"> A1</v>
      </c>
      <c r="D357" t="str">
        <f>'DASE DADOS - DISTANCIA'!E357</f>
        <v>BOM JESUS DO SUL</v>
      </c>
      <c r="E357" t="str">
        <f>'DASE DADOS - DISTANCIA'!I357</f>
        <v>PLUSVAL</v>
      </c>
      <c r="F357" s="7">
        <v>177.5</v>
      </c>
      <c r="G357">
        <f>'DASE DADOS - DISTANCIA'!J357</f>
        <v>355</v>
      </c>
      <c r="H357" s="2">
        <v>420</v>
      </c>
      <c r="I357" s="2" t="e">
        <f>IF(#REF!&lt;17200,DISTÂNCIA3[[#This Row],[KM PARA PAGAMENTO DOS FRETES]]*4.74,((#REF!/17200)*4.74)*DISTÂNCIA3[[#This Row],[KM PARA PAGAMENTO DOS FRETES]])</f>
        <v>#REF!</v>
      </c>
      <c r="J357" s="4">
        <f>DISTÂNCIA3[[#This Row],[Valor CTE]]/DISTÂNCIA3[[#This Row],[KM PARA PAGAMENTO DOS FRETES]]</f>
        <v>4.9425915492957744</v>
      </c>
      <c r="K357" s="6">
        <f t="shared" si="14"/>
        <v>1007.04</v>
      </c>
      <c r="L357" s="6">
        <f>0.92*DISTÂNCIA3[[#This Row],[KM distancia]]*4.578</f>
        <v>747.58740000000012</v>
      </c>
      <c r="M357" s="6">
        <f t="shared" si="15"/>
        <v>1754.62</v>
      </c>
    </row>
    <row r="358" spans="1:13" hidden="1" x14ac:dyDescent="0.35">
      <c r="A358">
        <f>'DASE DADOS - DISTANCIA'!A358</f>
        <v>30059</v>
      </c>
      <c r="B358" t="str">
        <f>'DASE DADOS - DISTANCIA'!B358</f>
        <v>JONAS HERDMAN</v>
      </c>
      <c r="C358" t="str">
        <f>'DASE DADOS - DISTANCIA'!C358</f>
        <v xml:space="preserve"> A2</v>
      </c>
      <c r="D358" t="str">
        <f>'DASE DADOS - DISTANCIA'!E358</f>
        <v>BOM JESUS DO SUL</v>
      </c>
      <c r="E358" t="str">
        <f>'DASE DADOS - DISTANCIA'!I358</f>
        <v>PLUSVAL</v>
      </c>
      <c r="F358" s="7">
        <v>177.5</v>
      </c>
      <c r="G358">
        <f>'DASE DADOS - DISTANCIA'!J358</f>
        <v>355</v>
      </c>
      <c r="H358" s="2">
        <v>420</v>
      </c>
      <c r="I358" s="2" t="e">
        <f>IF(#REF!&lt;17200,DISTÂNCIA3[[#This Row],[KM PARA PAGAMENTO DOS FRETES]]*4.74,((#REF!/17200)*4.74)*DISTÂNCIA3[[#This Row],[KM PARA PAGAMENTO DOS FRETES]])</f>
        <v>#REF!</v>
      </c>
      <c r="J358" s="4">
        <f>DISTÂNCIA3[[#This Row],[Valor CTE]]/DISTÂNCIA3[[#This Row],[KM PARA PAGAMENTO DOS FRETES]]</f>
        <v>4.9425915492957744</v>
      </c>
      <c r="K358" s="6">
        <f t="shared" si="14"/>
        <v>1007.04</v>
      </c>
      <c r="L358" s="6">
        <f>0.92*DISTÂNCIA3[[#This Row],[KM distancia]]*4.578</f>
        <v>747.58740000000012</v>
      </c>
      <c r="M358" s="6">
        <f t="shared" si="15"/>
        <v>1754.62</v>
      </c>
    </row>
    <row r="359" spans="1:13" hidden="1" x14ac:dyDescent="0.35">
      <c r="A359">
        <f>'DASE DADOS - DISTANCIA'!A359</f>
        <v>51881</v>
      </c>
      <c r="B359" t="str">
        <f>'DASE DADOS - DISTANCIA'!B359</f>
        <v>GILMAR ROSIN</v>
      </c>
      <c r="C359" t="str">
        <f>'DASE DADOS - DISTANCIA'!C359</f>
        <v xml:space="preserve"> A2</v>
      </c>
      <c r="D359" t="str">
        <f>'DASE DADOS - DISTANCIA'!E359</f>
        <v>CAPANEMA</v>
      </c>
      <c r="E359" t="str">
        <f>'DASE DADOS - DISTANCIA'!I359</f>
        <v>PLUSVAL</v>
      </c>
      <c r="F359" s="7">
        <v>126</v>
      </c>
      <c r="G359">
        <f>'DASE DADOS - DISTANCIA'!J359</f>
        <v>252</v>
      </c>
      <c r="H359" s="2">
        <v>420</v>
      </c>
      <c r="I359" s="2" t="e">
        <f>IF(#REF!&lt;17200,DISTÂNCIA3[[#This Row],[KM PARA PAGAMENTO DOS FRETES]]*4.74,((#REF!/17200)*4.74)*DISTÂNCIA3[[#This Row],[KM PARA PAGAMENTO DOS FRETES]])</f>
        <v>#REF!</v>
      </c>
      <c r="J359" s="4">
        <f>DISTÂNCIA3[[#This Row],[Valor CTE]]/DISTÂNCIA3[[#This Row],[KM PARA PAGAMENTO DOS FRETES]]</f>
        <v>5.1664682539682545</v>
      </c>
      <c r="K359" s="6">
        <f t="shared" si="14"/>
        <v>771.27</v>
      </c>
      <c r="L359" s="6">
        <f>0.92*DISTÂNCIA3[[#This Row],[KM distancia]]*4.578</f>
        <v>530.68176000000005</v>
      </c>
      <c r="M359" s="6">
        <f t="shared" si="15"/>
        <v>1301.95</v>
      </c>
    </row>
    <row r="360" spans="1:13" hidden="1" x14ac:dyDescent="0.35">
      <c r="A360">
        <f>'DASE DADOS - DISTANCIA'!A360</f>
        <v>30079</v>
      </c>
      <c r="B360" t="str">
        <f>'DASE DADOS - DISTANCIA'!B360</f>
        <v>JONEI PEDRO BIESEK</v>
      </c>
      <c r="C360" t="str">
        <f>'DASE DADOS - DISTANCIA'!C360</f>
        <v xml:space="preserve"> A1</v>
      </c>
      <c r="D360" t="str">
        <f>'DASE DADOS - DISTANCIA'!E360</f>
        <v>CAPANEMA</v>
      </c>
      <c r="E360" t="str">
        <f>'DASE DADOS - DISTANCIA'!I360</f>
        <v>PLUSVAL</v>
      </c>
      <c r="F360" s="7">
        <v>117</v>
      </c>
      <c r="G360">
        <f>'DASE DADOS - DISTANCIA'!J360</f>
        <v>234</v>
      </c>
      <c r="H360" s="2">
        <v>420</v>
      </c>
      <c r="I360" s="2" t="e">
        <f>IF(#REF!&lt;17200,DISTÂNCIA3[[#This Row],[KM PARA PAGAMENTO DOS FRETES]]*4.74,((#REF!/17200)*4.74)*DISTÂNCIA3[[#This Row],[KM PARA PAGAMENTO DOS FRETES]])</f>
        <v>#REF!</v>
      </c>
      <c r="J360" s="4">
        <f>DISTÂNCIA3[[#This Row],[Valor CTE]]/DISTÂNCIA3[[#This Row],[KM PARA PAGAMENTO DOS FRETES]]</f>
        <v>5.2258119658119657</v>
      </c>
      <c r="K360" s="6">
        <f t="shared" si="14"/>
        <v>730.07</v>
      </c>
      <c r="L360" s="6">
        <f>0.92*DISTÂNCIA3[[#This Row],[KM distancia]]*4.578</f>
        <v>492.77592000000004</v>
      </c>
      <c r="M360" s="6">
        <f t="shared" si="15"/>
        <v>1222.8399999999999</v>
      </c>
    </row>
    <row r="361" spans="1:13" hidden="1" x14ac:dyDescent="0.35">
      <c r="A361">
        <f>'DASE DADOS - DISTANCIA'!A361</f>
        <v>51881</v>
      </c>
      <c r="B361" t="str">
        <f>'DASE DADOS - DISTANCIA'!B361</f>
        <v>GILMAR ROSIN</v>
      </c>
      <c r="C361" t="str">
        <f>'DASE DADOS - DISTANCIA'!C361</f>
        <v xml:space="preserve"> A1</v>
      </c>
      <c r="D361" t="str">
        <f>'DASE DADOS - DISTANCIA'!E361</f>
        <v>CAPANEMA</v>
      </c>
      <c r="E361" t="str">
        <f>'DASE DADOS - DISTANCIA'!I361</f>
        <v>PLUSVAL</v>
      </c>
      <c r="F361" s="7">
        <v>126</v>
      </c>
      <c r="G361">
        <f>'DASE DADOS - DISTANCIA'!J361</f>
        <v>252</v>
      </c>
      <c r="H361" s="2">
        <v>420</v>
      </c>
      <c r="I361" s="2" t="e">
        <f>IF(#REF!&lt;17200,DISTÂNCIA3[[#This Row],[KM PARA PAGAMENTO DOS FRETES]]*4.74,((#REF!/17200)*4.74)*DISTÂNCIA3[[#This Row],[KM PARA PAGAMENTO DOS FRETES]])</f>
        <v>#REF!</v>
      </c>
      <c r="J361" s="4">
        <f>DISTÂNCIA3[[#This Row],[Valor CTE]]/DISTÂNCIA3[[#This Row],[KM PARA PAGAMENTO DOS FRETES]]</f>
        <v>5.1664682539682545</v>
      </c>
      <c r="K361" s="6">
        <f t="shared" si="14"/>
        <v>771.27</v>
      </c>
      <c r="L361" s="6">
        <f>0.92*DISTÂNCIA3[[#This Row],[KM distancia]]*4.578</f>
        <v>530.68176000000005</v>
      </c>
      <c r="M361" s="6">
        <f t="shared" si="15"/>
        <v>1301.95</v>
      </c>
    </row>
    <row r="362" spans="1:13" hidden="1" x14ac:dyDescent="0.35">
      <c r="A362">
        <f>'DASE DADOS - DISTANCIA'!A362</f>
        <v>65166</v>
      </c>
      <c r="B362" t="str">
        <f>'DASE DADOS - DISTANCIA'!B362</f>
        <v>JULIETE CRISTINA WESSELING SCHNEIDER</v>
      </c>
      <c r="C362" t="str">
        <f>'DASE DADOS - DISTANCIA'!C362</f>
        <v xml:space="preserve"> A1</v>
      </c>
      <c r="D362" t="str">
        <f>'DASE DADOS - DISTANCIA'!E362</f>
        <v>CAPANEMA</v>
      </c>
      <c r="E362" t="str">
        <f>'DASE DADOS - DISTANCIA'!I362</f>
        <v>PLUSVAL</v>
      </c>
      <c r="F362" s="7">
        <v>131.5</v>
      </c>
      <c r="G362">
        <f>'DASE DADOS - DISTANCIA'!J362</f>
        <v>263</v>
      </c>
      <c r="H362" s="2">
        <v>420</v>
      </c>
      <c r="I362" s="2" t="e">
        <f>IF(#REF!&lt;17200,DISTÂNCIA3[[#This Row],[KM PARA PAGAMENTO DOS FRETES]]*4.74,((#REF!/17200)*4.74)*DISTÂNCIA3[[#This Row],[KM PARA PAGAMENTO DOS FRETES]])</f>
        <v>#REF!</v>
      </c>
      <c r="J362" s="4">
        <f>DISTÂNCIA3[[#This Row],[Valor CTE]]/DISTÂNCIA3[[#This Row],[KM PARA PAGAMENTO DOS FRETES]]</f>
        <v>5.1341825095057034</v>
      </c>
      <c r="K362" s="6">
        <f t="shared" si="14"/>
        <v>796.45</v>
      </c>
      <c r="L362" s="6">
        <f>0.92*DISTÂNCIA3[[#This Row],[KM distancia]]*4.578</f>
        <v>553.84644000000003</v>
      </c>
      <c r="M362" s="6">
        <f t="shared" si="15"/>
        <v>1350.29</v>
      </c>
    </row>
    <row r="363" spans="1:13" hidden="1" x14ac:dyDescent="0.35">
      <c r="A363">
        <f>'DASE DADOS - DISTANCIA'!A363</f>
        <v>30080</v>
      </c>
      <c r="B363" t="str">
        <f>'DASE DADOS - DISTANCIA'!B363</f>
        <v>LAURINDO MARTINS</v>
      </c>
      <c r="C363" t="str">
        <f>'DASE DADOS - DISTANCIA'!C363</f>
        <v xml:space="preserve"> A1</v>
      </c>
      <c r="D363" t="str">
        <f>'DASE DADOS - DISTANCIA'!E363</f>
        <v>CAPANEMA</v>
      </c>
      <c r="E363" t="str">
        <f>'DASE DADOS - DISTANCIA'!I363</f>
        <v>PLUSVAL</v>
      </c>
      <c r="F363" s="7">
        <v>115</v>
      </c>
      <c r="G363">
        <f>'DASE DADOS - DISTANCIA'!J363</f>
        <v>230</v>
      </c>
      <c r="H363" s="2">
        <v>420</v>
      </c>
      <c r="I363" s="2" t="e">
        <f>IF(#REF!&lt;17200,DISTÂNCIA3[[#This Row],[KM PARA PAGAMENTO DOS FRETES]]*4.74,((#REF!/17200)*4.74)*DISTÂNCIA3[[#This Row],[KM PARA PAGAMENTO DOS FRETES]])</f>
        <v>#REF!</v>
      </c>
      <c r="J363" s="4">
        <f>DISTÂNCIA3[[#This Row],[Valor CTE]]/DISTÂNCIA3[[#This Row],[KM PARA PAGAMENTO DOS FRETES]]</f>
        <v>5.2402608695652173</v>
      </c>
      <c r="K363" s="6">
        <f t="shared" si="14"/>
        <v>720.91</v>
      </c>
      <c r="L363" s="6">
        <f>0.92*DISTÂNCIA3[[#This Row],[KM distancia]]*4.578</f>
        <v>484.3524000000001</v>
      </c>
      <c r="M363" s="6">
        <f t="shared" si="15"/>
        <v>1205.26</v>
      </c>
    </row>
    <row r="364" spans="1:13" hidden="1" x14ac:dyDescent="0.35">
      <c r="A364">
        <f>'DASE DADOS - DISTANCIA'!A364</f>
        <v>29964</v>
      </c>
      <c r="B364" t="str">
        <f>'DASE DADOS - DISTANCIA'!B364</f>
        <v>MARLO ALEXANDRE FORALOSSO</v>
      </c>
      <c r="C364" t="str">
        <f>'DASE DADOS - DISTANCIA'!C364</f>
        <v xml:space="preserve"> A2</v>
      </c>
      <c r="D364" t="str">
        <f>'DASE DADOS - DISTANCIA'!E364</f>
        <v>TRÊS BARRAS DO PARANÁ</v>
      </c>
      <c r="E364" t="str">
        <f>'DASE DADOS - DISTANCIA'!I364</f>
        <v>PLUSVAL</v>
      </c>
      <c r="F364" s="7">
        <v>104.5</v>
      </c>
      <c r="G364">
        <f>'DASE DADOS - DISTANCIA'!J364</f>
        <v>209</v>
      </c>
      <c r="H364" s="2">
        <v>420</v>
      </c>
      <c r="I364" s="2" t="e">
        <f>IF(#REF!&lt;17200,DISTÂNCIA3[[#This Row],[KM PARA PAGAMENTO DOS FRETES]]*4.74,((#REF!/17200)*4.74)*DISTÂNCIA3[[#This Row],[KM PARA PAGAMENTO DOS FRETES]])</f>
        <v>#REF!</v>
      </c>
      <c r="J364" s="4">
        <f>DISTÂNCIA3[[#This Row],[Valor CTE]]/DISTÂNCIA3[[#This Row],[KM PARA PAGAMENTO DOS FRETES]]</f>
        <v>5.3252153110047846</v>
      </c>
      <c r="K364" s="6">
        <f t="shared" si="14"/>
        <v>672.84</v>
      </c>
      <c r="L364" s="6">
        <f>0.92*DISTÂNCIA3[[#This Row],[KM distancia]]*4.578</f>
        <v>440.12892000000005</v>
      </c>
      <c r="M364" s="6">
        <f t="shared" si="15"/>
        <v>1112.97</v>
      </c>
    </row>
    <row r="365" spans="1:13" hidden="1" x14ac:dyDescent="0.35">
      <c r="A365">
        <f>'DASE DADOS - DISTANCIA'!A365</f>
        <v>29956</v>
      </c>
      <c r="B365" t="str">
        <f>'DASE DADOS - DISTANCIA'!B365</f>
        <v>GIOVANI ANTONIO BERTUZZI</v>
      </c>
      <c r="C365" t="str">
        <f>'DASE DADOS - DISTANCIA'!C365</f>
        <v xml:space="preserve"> A1</v>
      </c>
      <c r="D365" t="str">
        <f>'DASE DADOS - DISTANCIA'!E365</f>
        <v>BOM JESUS DO SUL</v>
      </c>
      <c r="E365" t="str">
        <f>'DASE DADOS - DISTANCIA'!I365</f>
        <v>PLUSVAL</v>
      </c>
      <c r="F365" s="7">
        <v>183</v>
      </c>
      <c r="G365">
        <f>'DASE DADOS - DISTANCIA'!J365</f>
        <v>366</v>
      </c>
      <c r="H365" s="2">
        <v>420</v>
      </c>
      <c r="I365" s="2" t="e">
        <f>IF(#REF!&lt;17200,DISTÂNCIA3[[#This Row],[KM PARA PAGAMENTO DOS FRETES]]*4.74,((#REF!/17200)*4.74)*DISTÂNCIA3[[#This Row],[KM PARA PAGAMENTO DOS FRETES]])</f>
        <v>#REF!</v>
      </c>
      <c r="J365" s="4">
        <f>DISTÂNCIA3[[#This Row],[Valor CTE]]/DISTÂNCIA3[[#This Row],[KM PARA PAGAMENTO DOS FRETES]]</f>
        <v>4.9261475409836066</v>
      </c>
      <c r="K365" s="6">
        <f t="shared" si="14"/>
        <v>1032.21</v>
      </c>
      <c r="L365" s="6">
        <f>0.92*DISTÂNCIA3[[#This Row],[KM distancia]]*4.578</f>
        <v>770.75208000000009</v>
      </c>
      <c r="M365" s="6">
        <f t="shared" si="15"/>
        <v>1802.97</v>
      </c>
    </row>
    <row r="366" spans="1:13" hidden="1" x14ac:dyDescent="0.35">
      <c r="A366">
        <f>'DASE DADOS - DISTANCIA'!A366</f>
        <v>29964</v>
      </c>
      <c r="B366" t="str">
        <f>'DASE DADOS - DISTANCIA'!B366</f>
        <v>MARLO ALEXANDRE FORALOSSO</v>
      </c>
      <c r="C366" t="str">
        <f>'DASE DADOS - DISTANCIA'!C366</f>
        <v xml:space="preserve"> A1</v>
      </c>
      <c r="D366" t="str">
        <f>'DASE DADOS - DISTANCIA'!E366</f>
        <v>TRÊS BARRAS DO PARANÁ</v>
      </c>
      <c r="E366" t="str">
        <f>'DASE DADOS - DISTANCIA'!I366</f>
        <v>PLUSVAL</v>
      </c>
      <c r="F366" s="7">
        <v>104.5</v>
      </c>
      <c r="G366">
        <f>'DASE DADOS - DISTANCIA'!J366</f>
        <v>209</v>
      </c>
      <c r="H366" s="2">
        <v>420</v>
      </c>
      <c r="I366" s="2" t="e">
        <f>IF(#REF!&lt;17200,DISTÂNCIA3[[#This Row],[KM PARA PAGAMENTO DOS FRETES]]*4.74,((#REF!/17200)*4.74)*DISTÂNCIA3[[#This Row],[KM PARA PAGAMENTO DOS FRETES]])</f>
        <v>#REF!</v>
      </c>
      <c r="J366" s="4">
        <f>DISTÂNCIA3[[#This Row],[Valor CTE]]/DISTÂNCIA3[[#This Row],[KM PARA PAGAMENTO DOS FRETES]]</f>
        <v>5.3252153110047846</v>
      </c>
      <c r="K366" s="6">
        <f t="shared" si="14"/>
        <v>672.84</v>
      </c>
      <c r="L366" s="6">
        <f>0.92*DISTÂNCIA3[[#This Row],[KM distancia]]*4.578</f>
        <v>440.12892000000005</v>
      </c>
      <c r="M366" s="6">
        <f t="shared" si="15"/>
        <v>1112.97</v>
      </c>
    </row>
    <row r="367" spans="1:13" hidden="1" x14ac:dyDescent="0.35">
      <c r="A367">
        <f>'DASE DADOS - DISTANCIA'!A367</f>
        <v>29956</v>
      </c>
      <c r="B367" t="str">
        <f>'DASE DADOS - DISTANCIA'!B367</f>
        <v>GIOVANI ANTONIO BERTUZZI</v>
      </c>
      <c r="C367" t="str">
        <f>'DASE DADOS - DISTANCIA'!C367</f>
        <v xml:space="preserve"> A2</v>
      </c>
      <c r="D367" t="str">
        <f>'DASE DADOS - DISTANCIA'!E367</f>
        <v>BOM JESUS DO SUL</v>
      </c>
      <c r="E367" t="str">
        <f>'DASE DADOS - DISTANCIA'!I367</f>
        <v>PLUSVAL</v>
      </c>
      <c r="F367" s="7">
        <v>183</v>
      </c>
      <c r="G367">
        <f>'DASE DADOS - DISTANCIA'!J367</f>
        <v>366</v>
      </c>
      <c r="H367" s="2">
        <v>420</v>
      </c>
      <c r="I367" s="2" t="e">
        <f>IF(#REF!&lt;17200,DISTÂNCIA3[[#This Row],[KM PARA PAGAMENTO DOS FRETES]]*4.74,((#REF!/17200)*4.74)*DISTÂNCIA3[[#This Row],[KM PARA PAGAMENTO DOS FRETES]])</f>
        <v>#REF!</v>
      </c>
      <c r="J367" s="4">
        <f>DISTÂNCIA3[[#This Row],[Valor CTE]]/DISTÂNCIA3[[#This Row],[KM PARA PAGAMENTO DOS FRETES]]</f>
        <v>4.9261475409836066</v>
      </c>
      <c r="K367" s="6">
        <f t="shared" si="14"/>
        <v>1032.21</v>
      </c>
      <c r="L367" s="6">
        <f>0.92*DISTÂNCIA3[[#This Row],[KM distancia]]*4.578</f>
        <v>770.75208000000009</v>
      </c>
      <c r="M367" s="6">
        <f t="shared" si="15"/>
        <v>1802.97</v>
      </c>
    </row>
    <row r="368" spans="1:13" hidden="1" x14ac:dyDescent="0.35">
      <c r="A368">
        <f>'DASE DADOS - DISTANCIA'!A368</f>
        <v>29966</v>
      </c>
      <c r="B368" t="str">
        <f>'DASE DADOS - DISTANCIA'!B368</f>
        <v>MILTON VALDENI LAVARDA</v>
      </c>
      <c r="C368" t="str">
        <f>'DASE DADOS - DISTANCIA'!C368</f>
        <v xml:space="preserve"> A1</v>
      </c>
      <c r="D368" t="str">
        <f>'DASE DADOS - DISTANCIA'!E368</f>
        <v>PÉROLA DO OESTE</v>
      </c>
      <c r="E368" t="str">
        <f>'DASE DADOS - DISTANCIA'!I368</f>
        <v>PLUSVAL</v>
      </c>
      <c r="F368" s="7">
        <v>133.5</v>
      </c>
      <c r="G368">
        <f>'DASE DADOS - DISTANCIA'!J368</f>
        <v>267</v>
      </c>
      <c r="H368" s="2">
        <v>420</v>
      </c>
      <c r="I368" s="2" t="e">
        <f>IF(#REF!&lt;17200,DISTÂNCIA3[[#This Row],[KM PARA PAGAMENTO DOS FRETES]]*4.74,((#REF!/17200)*4.74)*DISTÂNCIA3[[#This Row],[KM PARA PAGAMENTO DOS FRETES]])</f>
        <v>#REF!</v>
      </c>
      <c r="J368" s="4">
        <f>DISTÂNCIA3[[#This Row],[Valor CTE]]/DISTÂNCIA3[[#This Row],[KM PARA PAGAMENTO DOS FRETES]]</f>
        <v>5.1231086142322093</v>
      </c>
      <c r="K368" s="6">
        <f t="shared" si="14"/>
        <v>805.6</v>
      </c>
      <c r="L368" s="6">
        <f>0.92*DISTÂNCIA3[[#This Row],[KM distancia]]*4.578</f>
        <v>562.26996000000008</v>
      </c>
      <c r="M368" s="6">
        <f t="shared" si="15"/>
        <v>1367.87</v>
      </c>
    </row>
    <row r="369" spans="1:13" hidden="1" x14ac:dyDescent="0.35">
      <c r="A369">
        <f>'DASE DADOS - DISTANCIA'!A369</f>
        <v>6410332</v>
      </c>
      <c r="B369" t="str">
        <f>'DASE DADOS - DISTANCIA'!B369</f>
        <v>GUSTAVO TASCA FERREIRA</v>
      </c>
      <c r="C369" t="str">
        <f>'DASE DADOS - DISTANCIA'!C369</f>
        <v xml:space="preserve"> A3</v>
      </c>
      <c r="D369" t="str">
        <f>'DASE DADOS - DISTANCIA'!E369</f>
        <v>VERA CRUZ DO OESTE</v>
      </c>
      <c r="E369" t="str">
        <f>'DASE DADOS - DISTANCIA'!I369</f>
        <v>PLUMA</v>
      </c>
      <c r="F369" s="7">
        <v>54</v>
      </c>
      <c r="G369">
        <f>'DASE DADOS - DISTANCIA'!J369</f>
        <v>108</v>
      </c>
      <c r="H369" s="2">
        <v>420</v>
      </c>
      <c r="I369" s="2" t="e">
        <f>IF(#REF!&lt;17200,DISTÂNCIA3[[#This Row],[KM PARA PAGAMENTO DOS FRETES]]*4.74,((#REF!/17200)*4.74)*DISTÂNCIA3[[#This Row],[KM PARA PAGAMENTO DOS FRETES]])</f>
        <v>#REF!</v>
      </c>
      <c r="J369" s="4">
        <f>DISTÂNCIA3[[#This Row],[Valor CTE]]/DISTÂNCIA3[[#This Row],[KM PARA PAGAMENTO DOS FRETES]]</f>
        <v>6.1952777777777781</v>
      </c>
      <c r="K369" s="6">
        <f t="shared" si="14"/>
        <v>441.65</v>
      </c>
      <c r="L369" s="6">
        <f>0.92*DISTÂNCIA3[[#This Row],[KM distancia]]*4.578</f>
        <v>227.43504000000001</v>
      </c>
      <c r="M369" s="6">
        <f t="shared" si="15"/>
        <v>669.09</v>
      </c>
    </row>
    <row r="370" spans="1:13" hidden="1" x14ac:dyDescent="0.35">
      <c r="A370">
        <f>'DASE DADOS - DISTANCIA'!A370</f>
        <v>30032</v>
      </c>
      <c r="B370" t="str">
        <f>'DASE DADOS - DISTANCIA'!B370</f>
        <v>NELSON JOSE DE SOUZA</v>
      </c>
      <c r="C370" t="str">
        <f>'DASE DADOS - DISTANCIA'!C370</f>
        <v xml:space="preserve"> A2</v>
      </c>
      <c r="D370" t="str">
        <f>'DASE DADOS - DISTANCIA'!E370</f>
        <v>TRÊS BARRAS DO PARANÁ</v>
      </c>
      <c r="E370" t="str">
        <f>'DASE DADOS - DISTANCIA'!I370</f>
        <v>PLUSVAL</v>
      </c>
      <c r="F370" s="7">
        <v>113.5</v>
      </c>
      <c r="G370">
        <f>'DASE DADOS - DISTANCIA'!J370</f>
        <v>227</v>
      </c>
      <c r="H370" s="2">
        <v>420</v>
      </c>
      <c r="I370" s="2" t="e">
        <f>IF(#REF!&lt;17200,DISTÂNCIA3[[#This Row],[KM PARA PAGAMENTO DOS FRETES]]*4.74,((#REF!/17200)*4.74)*DISTÂNCIA3[[#This Row],[KM PARA PAGAMENTO DOS FRETES]])</f>
        <v>#REF!</v>
      </c>
      <c r="J370" s="4">
        <f>DISTÂNCIA3[[#This Row],[Valor CTE]]/DISTÂNCIA3[[#This Row],[KM PARA PAGAMENTO DOS FRETES]]</f>
        <v>5.251453744493392</v>
      </c>
      <c r="K370" s="6">
        <f t="shared" si="14"/>
        <v>714.04</v>
      </c>
      <c r="L370" s="6">
        <f>0.92*DISTÂNCIA3[[#This Row],[KM distancia]]*4.578</f>
        <v>478.03476000000006</v>
      </c>
      <c r="M370" s="6">
        <f t="shared" si="15"/>
        <v>1192.08</v>
      </c>
    </row>
    <row r="371" spans="1:13" hidden="1" x14ac:dyDescent="0.35">
      <c r="A371">
        <f>'DASE DADOS - DISTANCIA'!A371</f>
        <v>6410332</v>
      </c>
      <c r="B371" t="str">
        <f>'DASE DADOS - DISTANCIA'!B371</f>
        <v>GUSTAVO TASCA FERREIRA</v>
      </c>
      <c r="C371" t="str">
        <f>'DASE DADOS - DISTANCIA'!C371</f>
        <v xml:space="preserve"> A2</v>
      </c>
      <c r="D371" t="str">
        <f>'DASE DADOS - DISTANCIA'!E371</f>
        <v>VERA CRUZ DO OESTE</v>
      </c>
      <c r="E371" t="str">
        <f>'DASE DADOS - DISTANCIA'!I371</f>
        <v>PLUMA</v>
      </c>
      <c r="F371" s="7">
        <v>54</v>
      </c>
      <c r="G371">
        <f>'DASE DADOS - DISTANCIA'!J371</f>
        <v>108</v>
      </c>
      <c r="H371" s="2">
        <v>420</v>
      </c>
      <c r="I371" s="2" t="e">
        <f>IF(#REF!&lt;17200,DISTÂNCIA3[[#This Row],[KM PARA PAGAMENTO DOS FRETES]]*4.74,((#REF!/17200)*4.74)*DISTÂNCIA3[[#This Row],[KM PARA PAGAMENTO DOS FRETES]])</f>
        <v>#REF!</v>
      </c>
      <c r="J371" s="4">
        <f>DISTÂNCIA3[[#This Row],[Valor CTE]]/DISTÂNCIA3[[#This Row],[KM PARA PAGAMENTO DOS FRETES]]</f>
        <v>6.1952777777777781</v>
      </c>
      <c r="K371" s="6">
        <f t="shared" si="14"/>
        <v>441.65</v>
      </c>
      <c r="L371" s="6">
        <f>0.92*DISTÂNCIA3[[#This Row],[KM distancia]]*4.578</f>
        <v>227.43504000000001</v>
      </c>
      <c r="M371" s="6">
        <f t="shared" si="15"/>
        <v>669.09</v>
      </c>
    </row>
    <row r="372" spans="1:13" hidden="1" x14ac:dyDescent="0.35">
      <c r="A372">
        <f>'DASE DADOS - DISTANCIA'!A372</f>
        <v>30032</v>
      </c>
      <c r="B372" t="str">
        <f>'DASE DADOS - DISTANCIA'!B372</f>
        <v>NELSON JOSE DE SOUZA</v>
      </c>
      <c r="C372" t="str">
        <f>'DASE DADOS - DISTANCIA'!C372</f>
        <v xml:space="preserve"> A1</v>
      </c>
      <c r="D372" t="str">
        <f>'DASE DADOS - DISTANCIA'!E372</f>
        <v>TRÊS BARRAS DO PARANÁ</v>
      </c>
      <c r="E372" t="str">
        <f>'DASE DADOS - DISTANCIA'!I372</f>
        <v>PLUSVAL</v>
      </c>
      <c r="F372" s="7">
        <v>113.5</v>
      </c>
      <c r="G372">
        <f>'DASE DADOS - DISTANCIA'!J372</f>
        <v>227</v>
      </c>
      <c r="H372" s="2">
        <v>420</v>
      </c>
      <c r="I372" s="2" t="e">
        <f>IF(#REF!&lt;17200,DISTÂNCIA3[[#This Row],[KM PARA PAGAMENTO DOS FRETES]]*4.74,((#REF!/17200)*4.74)*DISTÂNCIA3[[#This Row],[KM PARA PAGAMENTO DOS FRETES]])</f>
        <v>#REF!</v>
      </c>
      <c r="J372" s="4">
        <f>DISTÂNCIA3[[#This Row],[Valor CTE]]/DISTÂNCIA3[[#This Row],[KM PARA PAGAMENTO DOS FRETES]]</f>
        <v>5.251453744493392</v>
      </c>
      <c r="K372" s="6">
        <f t="shared" si="14"/>
        <v>714.04</v>
      </c>
      <c r="L372" s="6">
        <f>0.92*DISTÂNCIA3[[#This Row],[KM distancia]]*4.578</f>
        <v>478.03476000000006</v>
      </c>
      <c r="M372" s="6">
        <f t="shared" si="15"/>
        <v>1192.08</v>
      </c>
    </row>
    <row r="373" spans="1:13" hidden="1" x14ac:dyDescent="0.35">
      <c r="A373">
        <f>'DASE DADOS - DISTANCIA'!A373</f>
        <v>6410332</v>
      </c>
      <c r="B373" t="str">
        <f>'DASE DADOS - DISTANCIA'!B373</f>
        <v>GUSTAVO TASCA FERREIRA</v>
      </c>
      <c r="C373" t="str">
        <f>'DASE DADOS - DISTANCIA'!C373</f>
        <v xml:space="preserve"> A1</v>
      </c>
      <c r="D373" t="str">
        <f>'DASE DADOS - DISTANCIA'!E373</f>
        <v>VERA CRUZ DO OESTE</v>
      </c>
      <c r="E373" t="str">
        <f>'DASE DADOS - DISTANCIA'!I373</f>
        <v>PLUMA</v>
      </c>
      <c r="F373" s="7">
        <v>54</v>
      </c>
      <c r="G373">
        <f>'DASE DADOS - DISTANCIA'!J373</f>
        <v>108</v>
      </c>
      <c r="H373" s="2">
        <v>420</v>
      </c>
      <c r="I373" s="2" t="e">
        <f>IF(#REF!&lt;17200,DISTÂNCIA3[[#This Row],[KM PARA PAGAMENTO DOS FRETES]]*4.74,((#REF!/17200)*4.74)*DISTÂNCIA3[[#This Row],[KM PARA PAGAMENTO DOS FRETES]])</f>
        <v>#REF!</v>
      </c>
      <c r="J373" s="4">
        <f>DISTÂNCIA3[[#This Row],[Valor CTE]]/DISTÂNCIA3[[#This Row],[KM PARA PAGAMENTO DOS FRETES]]</f>
        <v>6.1952777777777781</v>
      </c>
      <c r="K373" s="6">
        <f t="shared" si="14"/>
        <v>441.65</v>
      </c>
      <c r="L373" s="6">
        <f>0.92*DISTÂNCIA3[[#This Row],[KM distancia]]*4.578</f>
        <v>227.43504000000001</v>
      </c>
      <c r="M373" s="6">
        <f t="shared" si="15"/>
        <v>669.09</v>
      </c>
    </row>
    <row r="374" spans="1:13" hidden="1" x14ac:dyDescent="0.35">
      <c r="A374">
        <f>'DASE DADOS - DISTANCIA'!A374</f>
        <v>30665</v>
      </c>
      <c r="B374" t="str">
        <f>'DASE DADOS - DISTANCIA'!B374</f>
        <v>ODAIR MENEGON</v>
      </c>
      <c r="C374" t="str">
        <f>'DASE DADOS - DISTANCIA'!C374</f>
        <v xml:space="preserve"> A5</v>
      </c>
      <c r="D374" t="str">
        <f>'DASE DADOS - DISTANCIA'!E374</f>
        <v>CAPITÃO LEÔNIDAS MARQUES</v>
      </c>
      <c r="E374" t="str">
        <f>'DASE DADOS - DISTANCIA'!I374</f>
        <v>PLUSVAL</v>
      </c>
      <c r="F374" s="7">
        <v>72.5</v>
      </c>
      <c r="G374">
        <f>'DASE DADOS - DISTANCIA'!J374</f>
        <v>145</v>
      </c>
      <c r="H374" s="2">
        <v>420</v>
      </c>
      <c r="I374" s="2" t="e">
        <f>IF(#REF!&lt;17200,DISTÂNCIA3[[#This Row],[KM PARA PAGAMENTO DOS FRETES]]*4.74,((#REF!/17200)*4.74)*DISTÂNCIA3[[#This Row],[KM PARA PAGAMENTO DOS FRETES]])</f>
        <v>#REF!</v>
      </c>
      <c r="J374" s="4">
        <f>DISTÂNCIA3[[#This Row],[Valor CTE]]/DISTÂNCIA3[[#This Row],[KM PARA PAGAMENTO DOS FRETES]]</f>
        <v>5.7358620689655178</v>
      </c>
      <c r="K374" s="6">
        <f t="shared" si="14"/>
        <v>526.35</v>
      </c>
      <c r="L374" s="6">
        <f>0.92*DISTÂNCIA3[[#This Row],[KM distancia]]*4.578</f>
        <v>305.35260000000005</v>
      </c>
      <c r="M374" s="6">
        <f t="shared" si="15"/>
        <v>831.7</v>
      </c>
    </row>
    <row r="375" spans="1:13" hidden="1" x14ac:dyDescent="0.35">
      <c r="A375">
        <f>'DASE DADOS - DISTANCIA'!A375</f>
        <v>30665</v>
      </c>
      <c r="B375" t="str">
        <f>'DASE DADOS - DISTANCIA'!B375</f>
        <v>ODAIR MENEGON</v>
      </c>
      <c r="C375" t="str">
        <f>'DASE DADOS - DISTANCIA'!C375</f>
        <v xml:space="preserve"> A3</v>
      </c>
      <c r="D375" t="str">
        <f>'DASE DADOS - DISTANCIA'!E375</f>
        <v>CAPITÃO LEÔNIDAS MARQUES</v>
      </c>
      <c r="E375" t="str">
        <f>'DASE DADOS - DISTANCIA'!I375</f>
        <v>PLUSVAL</v>
      </c>
      <c r="F375" s="7">
        <v>72.5</v>
      </c>
      <c r="G375">
        <f>'DASE DADOS - DISTANCIA'!J375</f>
        <v>145</v>
      </c>
      <c r="H375" s="2">
        <v>420</v>
      </c>
      <c r="I375" s="2" t="e">
        <f>IF(#REF!&lt;17200,DISTÂNCIA3[[#This Row],[KM PARA PAGAMENTO DOS FRETES]]*4.74,((#REF!/17200)*4.74)*DISTÂNCIA3[[#This Row],[KM PARA PAGAMENTO DOS FRETES]])</f>
        <v>#REF!</v>
      </c>
      <c r="J375" s="4">
        <f>DISTÂNCIA3[[#This Row],[Valor CTE]]/DISTÂNCIA3[[#This Row],[KM PARA PAGAMENTO DOS FRETES]]</f>
        <v>5.7358620689655178</v>
      </c>
      <c r="K375" s="6">
        <f t="shared" si="14"/>
        <v>526.35</v>
      </c>
      <c r="L375" s="6">
        <f>0.92*DISTÂNCIA3[[#This Row],[KM distancia]]*4.578</f>
        <v>305.35260000000005</v>
      </c>
      <c r="M375" s="6">
        <f t="shared" si="15"/>
        <v>831.7</v>
      </c>
    </row>
    <row r="376" spans="1:13" hidden="1" x14ac:dyDescent="0.35">
      <c r="A376">
        <f>'DASE DADOS - DISTANCIA'!A376</f>
        <v>0</v>
      </c>
      <c r="B376" t="str">
        <f>'DASE DADOS - DISTANCIA'!B376</f>
        <v>FUNDACAO PARA O DESENVOLVIMENTO CIENTIFICO E TECNOLOGIC</v>
      </c>
      <c r="C376" t="str">
        <f>'DASE DADOS - DISTANCIA'!C376</f>
        <v xml:space="preserve"> A1</v>
      </c>
      <c r="D376" t="str">
        <f>'DASE DADOS - DISTANCIA'!E376</f>
        <v>CASCAVEL</v>
      </c>
      <c r="E376" t="str">
        <f>'DASE DADOS - DISTANCIA'!I376</f>
        <v>PLUMA</v>
      </c>
      <c r="F376" s="7">
        <v>21.5</v>
      </c>
      <c r="G376">
        <f>'DASE DADOS - DISTANCIA'!J376</f>
        <v>43</v>
      </c>
      <c r="H376" s="2">
        <v>420</v>
      </c>
      <c r="I376" s="2" t="e">
        <f>IF(#REF!&lt;17200,DISTÂNCIA3[[#This Row],[KM PARA PAGAMENTO DOS FRETES]]*4.74,((#REF!/17200)*4.74)*DISTÂNCIA3[[#This Row],[KM PARA PAGAMENTO DOS FRETES]])</f>
        <v>#REF!</v>
      </c>
      <c r="J376" s="4">
        <f>DISTÂNCIA3[[#This Row],[Valor CTE]]/DISTÂNCIA3[[#This Row],[KM PARA PAGAMENTO DOS FRETES]]</f>
        <v>8.9167441860465129</v>
      </c>
      <c r="K376" s="6">
        <f t="shared" si="14"/>
        <v>292.87</v>
      </c>
      <c r="L376" s="6">
        <f>0.92*DISTÂNCIA3[[#This Row],[KM distancia]]*4.578</f>
        <v>90.552840000000018</v>
      </c>
      <c r="M376" s="6">
        <f t="shared" si="15"/>
        <v>383.42</v>
      </c>
    </row>
    <row r="377" spans="1:13" hidden="1" x14ac:dyDescent="0.35">
      <c r="A377">
        <f>'DASE DADOS - DISTANCIA'!A377</f>
        <v>30665</v>
      </c>
      <c r="B377" t="str">
        <f>'DASE DADOS - DISTANCIA'!B377</f>
        <v>ODAIR MENEGON</v>
      </c>
      <c r="C377" t="str">
        <f>'DASE DADOS - DISTANCIA'!C377</f>
        <v xml:space="preserve"> A4</v>
      </c>
      <c r="D377" t="str">
        <f>'DASE DADOS - DISTANCIA'!E377</f>
        <v>CAPITÃO LEÔNIDAS MARQUES</v>
      </c>
      <c r="E377" t="str">
        <f>'DASE DADOS - DISTANCIA'!I377</f>
        <v>PLUSVAL</v>
      </c>
      <c r="F377" s="7">
        <v>72.5</v>
      </c>
      <c r="G377">
        <f>'DASE DADOS - DISTANCIA'!J377</f>
        <v>145</v>
      </c>
      <c r="H377" s="2">
        <v>420</v>
      </c>
      <c r="I377" s="2" t="e">
        <f>IF(#REF!&lt;17200,DISTÂNCIA3[[#This Row],[KM PARA PAGAMENTO DOS FRETES]]*4.74,((#REF!/17200)*4.74)*DISTÂNCIA3[[#This Row],[KM PARA PAGAMENTO DOS FRETES]])</f>
        <v>#REF!</v>
      </c>
      <c r="J377" s="4">
        <f>DISTÂNCIA3[[#This Row],[Valor CTE]]/DISTÂNCIA3[[#This Row],[KM PARA PAGAMENTO DOS FRETES]]</f>
        <v>5.7358620689655178</v>
      </c>
      <c r="K377" s="6">
        <f t="shared" si="14"/>
        <v>526.35</v>
      </c>
      <c r="L377" s="6">
        <f>0.92*DISTÂNCIA3[[#This Row],[KM distancia]]*4.578</f>
        <v>305.35260000000005</v>
      </c>
      <c r="M377" s="6">
        <f t="shared" si="15"/>
        <v>831.7</v>
      </c>
    </row>
    <row r="378" spans="1:13" hidden="1" x14ac:dyDescent="0.35">
      <c r="A378">
        <f>'DASE DADOS - DISTANCIA'!A378</f>
        <v>30665</v>
      </c>
      <c r="B378" t="str">
        <f>'DASE DADOS - DISTANCIA'!B378</f>
        <v>ODAIR MENEGON</v>
      </c>
      <c r="C378" t="str">
        <f>'DASE DADOS - DISTANCIA'!C378</f>
        <v xml:space="preserve"> A6</v>
      </c>
      <c r="D378" t="str">
        <f>'DASE DADOS - DISTANCIA'!E378</f>
        <v>CAPITÃO LEÔNIDAS MARQUES</v>
      </c>
      <c r="E378" t="str">
        <f>'DASE DADOS - DISTANCIA'!I378</f>
        <v>PLUSVAL</v>
      </c>
      <c r="F378" s="7">
        <v>72.5</v>
      </c>
      <c r="G378">
        <f>'DASE DADOS - DISTANCIA'!J378</f>
        <v>145</v>
      </c>
      <c r="H378" s="2">
        <v>420</v>
      </c>
      <c r="I378" s="2" t="e">
        <f>IF(#REF!&lt;17200,DISTÂNCIA3[[#This Row],[KM PARA PAGAMENTO DOS FRETES]]*4.74,((#REF!/17200)*4.74)*DISTÂNCIA3[[#This Row],[KM PARA PAGAMENTO DOS FRETES]])</f>
        <v>#REF!</v>
      </c>
      <c r="J378" s="4">
        <f>DISTÂNCIA3[[#This Row],[Valor CTE]]/DISTÂNCIA3[[#This Row],[KM PARA PAGAMENTO DOS FRETES]]</f>
        <v>5.7358620689655178</v>
      </c>
      <c r="K378" s="6">
        <f t="shared" si="14"/>
        <v>526.35</v>
      </c>
      <c r="L378" s="6">
        <f>0.92*DISTÂNCIA3[[#This Row],[KM distancia]]*4.578</f>
        <v>305.35260000000005</v>
      </c>
      <c r="M378" s="6">
        <f t="shared" si="15"/>
        <v>831.7</v>
      </c>
    </row>
    <row r="379" spans="1:13" hidden="1" x14ac:dyDescent="0.35">
      <c r="A379">
        <f>'DASE DADOS - DISTANCIA'!A379</f>
        <v>30085</v>
      </c>
      <c r="B379" t="str">
        <f>'DASE DADOS - DISTANCIA'!B379</f>
        <v>ODETE CANDIDO</v>
      </c>
      <c r="C379" t="str">
        <f>'DASE DADOS - DISTANCIA'!C379</f>
        <v xml:space="preserve"> A1</v>
      </c>
      <c r="D379" t="str">
        <f>'DASE DADOS - DISTANCIA'!E379</f>
        <v>PÉROLA DO OESTE</v>
      </c>
      <c r="E379" t="str">
        <f>'DASE DADOS - DISTANCIA'!I379</f>
        <v>PLUSVAL</v>
      </c>
      <c r="F379" s="7">
        <v>127</v>
      </c>
      <c r="G379">
        <f>'DASE DADOS - DISTANCIA'!J379</f>
        <v>254</v>
      </c>
      <c r="H379" s="2">
        <v>420</v>
      </c>
      <c r="I379" s="2" t="e">
        <f>IF(#REF!&lt;17200,DISTÂNCIA3[[#This Row],[KM PARA PAGAMENTO DOS FRETES]]*4.74,((#REF!/17200)*4.74)*DISTÂNCIA3[[#This Row],[KM PARA PAGAMENTO DOS FRETES]])</f>
        <v>#REF!</v>
      </c>
      <c r="J379" s="4">
        <f>DISTÂNCIA3[[#This Row],[Valor CTE]]/DISTÂNCIA3[[#This Row],[KM PARA PAGAMENTO DOS FRETES]]</f>
        <v>5.1603937007874014</v>
      </c>
      <c r="K379" s="6">
        <f t="shared" si="14"/>
        <v>775.85</v>
      </c>
      <c r="L379" s="6">
        <f>0.92*DISTÂNCIA3[[#This Row],[KM distancia]]*4.578</f>
        <v>534.89352000000008</v>
      </c>
      <c r="M379" s="6">
        <f t="shared" si="15"/>
        <v>1310.74</v>
      </c>
    </row>
    <row r="380" spans="1:13" hidden="1" x14ac:dyDescent="0.35">
      <c r="A380">
        <f>'DASE DADOS - DISTANCIA'!A380</f>
        <v>29969</v>
      </c>
      <c r="B380" t="str">
        <f>'DASE DADOS - DISTANCIA'!B380</f>
        <v>ORLANDO HENNIG</v>
      </c>
      <c r="C380" t="str">
        <f>'DASE DADOS - DISTANCIA'!C380</f>
        <v xml:space="preserve"> A1</v>
      </c>
      <c r="D380" t="str">
        <f>'DASE DADOS - DISTANCIA'!E380</f>
        <v>CAPANEMA</v>
      </c>
      <c r="E380" t="str">
        <f>'DASE DADOS - DISTANCIA'!I380</f>
        <v>PLUSVAL</v>
      </c>
      <c r="F380" s="7">
        <v>94.5</v>
      </c>
      <c r="G380">
        <f>'DASE DADOS - DISTANCIA'!J380</f>
        <v>189</v>
      </c>
      <c r="H380" s="2">
        <v>420</v>
      </c>
      <c r="I380" s="2" t="e">
        <f>IF(#REF!&lt;17200,DISTÂNCIA3[[#This Row],[KM PARA PAGAMENTO DOS FRETES]]*4.74,((#REF!/17200)*4.74)*DISTÂNCIA3[[#This Row],[KM PARA PAGAMENTO DOS FRETES]])</f>
        <v>#REF!</v>
      </c>
      <c r="J380" s="4">
        <f>DISTÂNCIA3[[#This Row],[Valor CTE]]/DISTÂNCIA3[[#This Row],[KM PARA PAGAMENTO DOS FRETES]]</f>
        <v>5.4236507936507934</v>
      </c>
      <c r="K380" s="6">
        <f t="shared" si="14"/>
        <v>627.05999999999995</v>
      </c>
      <c r="L380" s="6">
        <f>0.92*DISTÂNCIA3[[#This Row],[KM distancia]]*4.578</f>
        <v>398.01132000000001</v>
      </c>
      <c r="M380" s="6">
        <f t="shared" si="15"/>
        <v>1025.07</v>
      </c>
    </row>
    <row r="381" spans="1:13" hidden="1" x14ac:dyDescent="0.35">
      <c r="A381">
        <f>'DASE DADOS - DISTANCIA'!A381</f>
        <v>4720610</v>
      </c>
      <c r="B381" t="str">
        <f>'DASE DADOS - DISTANCIA'!B381</f>
        <v>HIGINO BATISTA MINUSSI</v>
      </c>
      <c r="C381" t="str">
        <f>'DASE DADOS - DISTANCIA'!C381</f>
        <v xml:space="preserve"> A1</v>
      </c>
      <c r="D381" t="str">
        <f>'DASE DADOS - DISTANCIA'!E381</f>
        <v>TOLEDO</v>
      </c>
      <c r="E381" t="str">
        <f>'DASE DADOS - DISTANCIA'!I381</f>
        <v>PLUMA</v>
      </c>
      <c r="F381" s="7">
        <v>59</v>
      </c>
      <c r="G381">
        <f>'DASE DADOS - DISTANCIA'!J381</f>
        <v>118</v>
      </c>
      <c r="H381" s="2">
        <v>420</v>
      </c>
      <c r="I381" s="2" t="e">
        <f>IF(#REF!&lt;17200,DISTÂNCIA3[[#This Row],[KM PARA PAGAMENTO DOS FRETES]]*4.74,((#REF!/17200)*4.74)*DISTÂNCIA3[[#This Row],[KM PARA PAGAMENTO DOS FRETES]])</f>
        <v>#REF!</v>
      </c>
      <c r="J381" s="4">
        <f>DISTÂNCIA3[[#This Row],[Valor CTE]]/DISTÂNCIA3[[#This Row],[KM PARA PAGAMENTO DOS FRETES]]</f>
        <v>6.0427118644067797</v>
      </c>
      <c r="K381" s="6">
        <f t="shared" si="14"/>
        <v>464.54</v>
      </c>
      <c r="L381" s="6">
        <f>0.92*DISTÂNCIA3[[#This Row],[KM distancia]]*4.578</f>
        <v>248.49384000000003</v>
      </c>
      <c r="M381" s="6">
        <f t="shared" si="15"/>
        <v>713.04</v>
      </c>
    </row>
    <row r="382" spans="1:13" hidden="1" x14ac:dyDescent="0.35">
      <c r="A382">
        <f>'DASE DADOS - DISTANCIA'!A382</f>
        <v>42662</v>
      </c>
      <c r="B382" t="str">
        <f>'DASE DADOS - DISTANCIA'!B382</f>
        <v>ROSELI KENI RUP DE SOUZA</v>
      </c>
      <c r="C382" t="str">
        <f>'DASE DADOS - DISTANCIA'!C382</f>
        <v xml:space="preserve"> A1</v>
      </c>
      <c r="D382" t="str">
        <f>'DASE DADOS - DISTANCIA'!E382</f>
        <v>PLANALTO</v>
      </c>
      <c r="E382" t="str">
        <f>'DASE DADOS - DISTANCIA'!I382</f>
        <v>PLUSVAL</v>
      </c>
      <c r="F382" s="7">
        <v>122</v>
      </c>
      <c r="G382">
        <f>'DASE DADOS - DISTANCIA'!J382</f>
        <v>244</v>
      </c>
      <c r="H382" s="2">
        <v>420</v>
      </c>
      <c r="I382" s="2" t="e">
        <f>IF(#REF!&lt;17200,DISTÂNCIA3[[#This Row],[KM PARA PAGAMENTO DOS FRETES]]*4.74,((#REF!/17200)*4.74)*DISTÂNCIA3[[#This Row],[KM PARA PAGAMENTO DOS FRETES]])</f>
        <v>#REF!</v>
      </c>
      <c r="J382" s="4">
        <f>DISTÂNCIA3[[#This Row],[Valor CTE]]/DISTÂNCIA3[[#This Row],[KM PARA PAGAMENTO DOS FRETES]]</f>
        <v>5.1917622950819666</v>
      </c>
      <c r="K382" s="6">
        <f t="shared" si="14"/>
        <v>752.96</v>
      </c>
      <c r="L382" s="6">
        <f>0.92*DISTÂNCIA3[[#This Row],[KM distancia]]*4.578</f>
        <v>513.83472000000006</v>
      </c>
      <c r="M382" s="6">
        <f t="shared" si="15"/>
        <v>1266.79</v>
      </c>
    </row>
    <row r="383" spans="1:13" hidden="1" x14ac:dyDescent="0.35">
      <c r="A383">
        <f>'DASE DADOS - DISTANCIA'!A383</f>
        <v>42662</v>
      </c>
      <c r="B383" t="str">
        <f>'DASE DADOS - DISTANCIA'!B383</f>
        <v>ROSELI KENI RUP DE SOUZA</v>
      </c>
      <c r="C383" t="str">
        <f>'DASE DADOS - DISTANCIA'!C383</f>
        <v xml:space="preserve"> A2</v>
      </c>
      <c r="D383" t="str">
        <f>'DASE DADOS - DISTANCIA'!E383</f>
        <v>PLANALTO</v>
      </c>
      <c r="E383" t="str">
        <f>'DASE DADOS - DISTANCIA'!I383</f>
        <v>PLUSVAL</v>
      </c>
      <c r="F383" s="7">
        <v>122</v>
      </c>
      <c r="G383">
        <f>'DASE DADOS - DISTANCIA'!J383</f>
        <v>244</v>
      </c>
      <c r="H383" s="2">
        <v>420</v>
      </c>
      <c r="I383" s="2" t="e">
        <f>IF(#REF!&lt;17200,DISTÂNCIA3[[#This Row],[KM PARA PAGAMENTO DOS FRETES]]*4.74,((#REF!/17200)*4.74)*DISTÂNCIA3[[#This Row],[KM PARA PAGAMENTO DOS FRETES]])</f>
        <v>#REF!</v>
      </c>
      <c r="J383" s="4">
        <f>DISTÂNCIA3[[#This Row],[Valor CTE]]/DISTÂNCIA3[[#This Row],[KM PARA PAGAMENTO DOS FRETES]]</f>
        <v>5.1917622950819666</v>
      </c>
      <c r="K383" s="6">
        <f t="shared" si="14"/>
        <v>752.96</v>
      </c>
      <c r="L383" s="6">
        <f>0.92*DISTÂNCIA3[[#This Row],[KM distancia]]*4.578</f>
        <v>513.83472000000006</v>
      </c>
      <c r="M383" s="6">
        <f t="shared" si="15"/>
        <v>1266.79</v>
      </c>
    </row>
    <row r="384" spans="1:13" hidden="1" x14ac:dyDescent="0.35">
      <c r="A384">
        <f>'DASE DADOS - DISTANCIA'!A384</f>
        <v>42662</v>
      </c>
      <c r="B384" t="str">
        <f>'DASE DADOS - DISTANCIA'!B384</f>
        <v>ROSELI KENI RUP DE SOUZA</v>
      </c>
      <c r="C384" t="str">
        <f>'DASE DADOS - DISTANCIA'!C384</f>
        <v xml:space="preserve"> A3</v>
      </c>
      <c r="D384" t="str">
        <f>'DASE DADOS - DISTANCIA'!E384</f>
        <v>PLANALTO</v>
      </c>
      <c r="E384" t="str">
        <f>'DASE DADOS - DISTANCIA'!I384</f>
        <v>PLUSVAL</v>
      </c>
      <c r="F384" s="7">
        <v>122</v>
      </c>
      <c r="G384">
        <f>'DASE DADOS - DISTANCIA'!J384</f>
        <v>244</v>
      </c>
      <c r="H384" s="2">
        <v>420</v>
      </c>
      <c r="I384" s="2" t="e">
        <f>IF(#REF!&lt;17200,DISTÂNCIA3[[#This Row],[KM PARA PAGAMENTO DOS FRETES]]*4.74,((#REF!/17200)*4.74)*DISTÂNCIA3[[#This Row],[KM PARA PAGAMENTO DOS FRETES]])</f>
        <v>#REF!</v>
      </c>
      <c r="J384" s="4">
        <f>DISTÂNCIA3[[#This Row],[Valor CTE]]/DISTÂNCIA3[[#This Row],[KM PARA PAGAMENTO DOS FRETES]]</f>
        <v>5.1917622950819666</v>
      </c>
      <c r="K384" s="6">
        <f t="shared" si="14"/>
        <v>752.96</v>
      </c>
      <c r="L384" s="6">
        <f>0.92*DISTÂNCIA3[[#This Row],[KM distancia]]*4.578</f>
        <v>513.83472000000006</v>
      </c>
      <c r="M384" s="6">
        <f t="shared" si="15"/>
        <v>1266.79</v>
      </c>
    </row>
    <row r="385" spans="1:13" hidden="1" x14ac:dyDescent="0.35">
      <c r="A385">
        <f>'DASE DADOS - DISTANCIA'!A385</f>
        <v>30348</v>
      </c>
      <c r="B385" t="str">
        <f>'DASE DADOS - DISTANCIA'!B385</f>
        <v>ORLANDO LUIZ BAZZANELLA</v>
      </c>
      <c r="C385" t="str">
        <f>'DASE DADOS - DISTANCIA'!C385</f>
        <v xml:space="preserve"> A1</v>
      </c>
      <c r="D385" t="str">
        <f>'DASE DADOS - DISTANCIA'!E385</f>
        <v>CAPANEMA</v>
      </c>
      <c r="E385" t="str">
        <f>'DASE DADOS - DISTANCIA'!I385</f>
        <v>PLUSVAL</v>
      </c>
      <c r="F385" s="7">
        <v>122</v>
      </c>
      <c r="G385">
        <f>'DASE DADOS - DISTANCIA'!J385</f>
        <v>244</v>
      </c>
      <c r="H385" s="2">
        <v>420</v>
      </c>
      <c r="I385" s="2" t="e">
        <f>IF(#REF!&lt;17200,DISTÂNCIA3[[#This Row],[KM PARA PAGAMENTO DOS FRETES]]*4.74,((#REF!/17200)*4.74)*DISTÂNCIA3[[#This Row],[KM PARA PAGAMENTO DOS FRETES]])</f>
        <v>#REF!</v>
      </c>
      <c r="J385" s="4">
        <f>DISTÂNCIA3[[#This Row],[Valor CTE]]/DISTÂNCIA3[[#This Row],[KM PARA PAGAMENTO DOS FRETES]]</f>
        <v>5.1917622950819666</v>
      </c>
      <c r="K385" s="6">
        <f t="shared" si="14"/>
        <v>752.96</v>
      </c>
      <c r="L385" s="6">
        <f>0.92*DISTÂNCIA3[[#This Row],[KM distancia]]*4.578</f>
        <v>513.83472000000006</v>
      </c>
      <c r="M385" s="6">
        <f t="shared" si="15"/>
        <v>1266.79</v>
      </c>
    </row>
    <row r="386" spans="1:13" hidden="1" x14ac:dyDescent="0.35">
      <c r="A386">
        <f>'DASE DADOS - DISTANCIA'!A386</f>
        <v>5357527</v>
      </c>
      <c r="B386" t="str">
        <f>'DASE DADOS - DISTANCIA'!B386</f>
        <v>IASMIN BORTOLOTTO CANTELLI</v>
      </c>
      <c r="C386" t="str">
        <f>'DASE DADOS - DISTANCIA'!C386</f>
        <v xml:space="preserve"> A1</v>
      </c>
      <c r="D386" t="str">
        <f>'DASE DADOS - DISTANCIA'!E386</f>
        <v>CASCAVEL</v>
      </c>
      <c r="E386" t="str">
        <f>'DASE DADOS - DISTANCIA'!I386</f>
        <v>PLUMA</v>
      </c>
      <c r="F386" s="7">
        <v>21</v>
      </c>
      <c r="G386">
        <f>'DASE DADOS - DISTANCIA'!J386</f>
        <v>42</v>
      </c>
      <c r="H386" s="2">
        <v>420</v>
      </c>
      <c r="I386" s="2" t="e">
        <f>IF(#REF!&lt;17200,DISTÂNCIA3[[#This Row],[KM PARA PAGAMENTO DOS FRETES]]*4.74,((#REF!/17200)*4.74)*DISTÂNCIA3[[#This Row],[KM PARA PAGAMENTO DOS FRETES]])</f>
        <v>#REF!</v>
      </c>
      <c r="J386" s="4">
        <f>DISTÂNCIA3[[#This Row],[Valor CTE]]/DISTÂNCIA3[[#This Row],[KM PARA PAGAMENTO DOS FRETES]]</f>
        <v>9.024285714285714</v>
      </c>
      <c r="K386" s="6">
        <f t="shared" ref="K386:K449" si="16">ROUND((F386*4.578)+194.44,2)</f>
        <v>290.58</v>
      </c>
      <c r="L386" s="6">
        <f>0.92*DISTÂNCIA3[[#This Row],[KM distancia]]*4.578</f>
        <v>88.446960000000004</v>
      </c>
      <c r="M386" s="6">
        <f t="shared" si="15"/>
        <v>379.02</v>
      </c>
    </row>
    <row r="387" spans="1:13" hidden="1" x14ac:dyDescent="0.35">
      <c r="A387">
        <f>'DASE DADOS - DISTANCIA'!A387</f>
        <v>1110900</v>
      </c>
      <c r="B387" t="str">
        <f>'DASE DADOS - DISTANCIA'!B387</f>
        <v>IDAIR JOÃO CAPELESSO</v>
      </c>
      <c r="C387" t="str">
        <f>'DASE DADOS - DISTANCIA'!C387</f>
        <v xml:space="preserve"> A1</v>
      </c>
      <c r="D387" t="str">
        <f>'DASE DADOS - DISTANCIA'!E387</f>
        <v>SANTA LÚCIA</v>
      </c>
      <c r="E387" t="str">
        <f>'DASE DADOS - DISTANCIA'!I387</f>
        <v>PLUSVAL</v>
      </c>
      <c r="F387" s="7">
        <v>67</v>
      </c>
      <c r="G387">
        <f>'DASE DADOS - DISTANCIA'!J387</f>
        <v>134</v>
      </c>
      <c r="H387" s="2">
        <v>420</v>
      </c>
      <c r="I387" s="2" t="e">
        <f>IF(#REF!&lt;17200,DISTÂNCIA3[[#This Row],[KM PARA PAGAMENTO DOS FRETES]]*4.74,((#REF!/17200)*4.74)*DISTÂNCIA3[[#This Row],[KM PARA PAGAMENTO DOS FRETES]])</f>
        <v>#REF!</v>
      </c>
      <c r="J387" s="4">
        <f>DISTÂNCIA3[[#This Row],[Valor CTE]]/DISTÂNCIA3[[#This Row],[KM PARA PAGAMENTO DOS FRETES]]</f>
        <v>5.8458955223880595</v>
      </c>
      <c r="K387" s="6">
        <f t="shared" si="16"/>
        <v>501.17</v>
      </c>
      <c r="L387" s="6">
        <f>0.92*DISTÂNCIA3[[#This Row],[KM distancia]]*4.578</f>
        <v>282.18792000000002</v>
      </c>
      <c r="M387" s="6">
        <f t="shared" ref="M387:M450" si="17">ROUND(((F387*4.578)+194.44)+(0.92*F387*4.578),2)</f>
        <v>783.35</v>
      </c>
    </row>
    <row r="388" spans="1:13" hidden="1" x14ac:dyDescent="0.35">
      <c r="A388">
        <f>'DASE DADOS - DISTANCIA'!A388</f>
        <v>1110900</v>
      </c>
      <c r="B388" t="str">
        <f>'DASE DADOS - DISTANCIA'!B388</f>
        <v>IDAIR JOÃO CAPELESSO</v>
      </c>
      <c r="C388" t="str">
        <f>'DASE DADOS - DISTANCIA'!C388</f>
        <v xml:space="preserve"> A2</v>
      </c>
      <c r="D388" t="str">
        <f>'DASE DADOS - DISTANCIA'!E388</f>
        <v>SANTA LÚCIA</v>
      </c>
      <c r="E388" t="str">
        <f>'DASE DADOS - DISTANCIA'!I388</f>
        <v>PLUSVAL</v>
      </c>
      <c r="F388" s="7">
        <v>67</v>
      </c>
      <c r="G388">
        <f>'DASE DADOS - DISTANCIA'!J388</f>
        <v>134</v>
      </c>
      <c r="H388" s="2">
        <v>420</v>
      </c>
      <c r="I388" s="2" t="e">
        <f>IF(#REF!&lt;17200,DISTÂNCIA3[[#This Row],[KM PARA PAGAMENTO DOS FRETES]]*4.74,((#REF!/17200)*4.74)*DISTÂNCIA3[[#This Row],[KM PARA PAGAMENTO DOS FRETES]])</f>
        <v>#REF!</v>
      </c>
      <c r="J388" s="4">
        <f>DISTÂNCIA3[[#This Row],[Valor CTE]]/DISTÂNCIA3[[#This Row],[KM PARA PAGAMENTO DOS FRETES]]</f>
        <v>5.8458955223880595</v>
      </c>
      <c r="K388" s="6">
        <f t="shared" si="16"/>
        <v>501.17</v>
      </c>
      <c r="L388" s="6">
        <f>0.92*DISTÂNCIA3[[#This Row],[KM distancia]]*4.578</f>
        <v>282.18792000000002</v>
      </c>
      <c r="M388" s="6">
        <f t="shared" si="17"/>
        <v>783.35</v>
      </c>
    </row>
    <row r="389" spans="1:13" hidden="1" x14ac:dyDescent="0.35">
      <c r="A389">
        <f>'DASE DADOS - DISTANCIA'!A389</f>
        <v>5241707</v>
      </c>
      <c r="B389" t="str">
        <f>'DASE DADOS - DISTANCIA'!B389</f>
        <v>IGNES FALABRETTI</v>
      </c>
      <c r="C389" t="str">
        <f>'DASE DADOS - DISTANCIA'!C389</f>
        <v xml:space="preserve"> A1</v>
      </c>
      <c r="D389" t="str">
        <f>'DASE DADOS - DISTANCIA'!E389</f>
        <v>TOLEDO</v>
      </c>
      <c r="E389" t="str">
        <f>'DASE DADOS - DISTANCIA'!I389</f>
        <v>PLUMA</v>
      </c>
      <c r="F389" s="7">
        <v>69.5</v>
      </c>
      <c r="G389">
        <f>'DASE DADOS - DISTANCIA'!J389</f>
        <v>139</v>
      </c>
      <c r="H389" s="2">
        <v>420</v>
      </c>
      <c r="I389" s="2" t="e">
        <f>IF(#REF!&lt;17200,DISTÂNCIA3[[#This Row],[KM PARA PAGAMENTO DOS FRETES]]*4.74,((#REF!/17200)*4.74)*DISTÂNCIA3[[#This Row],[KM PARA PAGAMENTO DOS FRETES]])</f>
        <v>#REF!</v>
      </c>
      <c r="J389" s="4">
        <f>DISTÂNCIA3[[#This Row],[Valor CTE]]/DISTÂNCIA3[[#This Row],[KM PARA PAGAMENTO DOS FRETES]]</f>
        <v>5.793741007194245</v>
      </c>
      <c r="K389" s="6">
        <f t="shared" si="16"/>
        <v>512.61</v>
      </c>
      <c r="L389" s="6">
        <f>0.92*DISTÂNCIA3[[#This Row],[KM distancia]]*4.578</f>
        <v>292.71732000000003</v>
      </c>
      <c r="M389" s="6">
        <f t="shared" si="17"/>
        <v>805.33</v>
      </c>
    </row>
    <row r="390" spans="1:13" hidden="1" x14ac:dyDescent="0.35">
      <c r="A390">
        <f>'DASE DADOS - DISTANCIA'!A390</f>
        <v>4793994</v>
      </c>
      <c r="B390" t="str">
        <f>'DASE DADOS - DISTANCIA'!B390</f>
        <v>ILARIO FRANCISCO SCHNEIDER</v>
      </c>
      <c r="C390" t="str">
        <f>'DASE DADOS - DISTANCIA'!C390</f>
        <v xml:space="preserve"> A1</v>
      </c>
      <c r="D390" t="str">
        <f>'DASE DADOS - DISTANCIA'!E390</f>
        <v>TOLEDO</v>
      </c>
      <c r="E390" t="str">
        <f>'DASE DADOS - DISTANCIA'!I390</f>
        <v>PLUMA</v>
      </c>
      <c r="F390" s="7">
        <v>78</v>
      </c>
      <c r="G390">
        <f>'DASE DADOS - DISTANCIA'!J390</f>
        <v>156</v>
      </c>
      <c r="H390" s="2">
        <v>420</v>
      </c>
      <c r="I390" s="2" t="e">
        <f>IF(#REF!&lt;17200,DISTÂNCIA3[[#This Row],[KM PARA PAGAMENTO DOS FRETES]]*4.74,((#REF!/17200)*4.74)*DISTÂNCIA3[[#This Row],[KM PARA PAGAMENTO DOS FRETES]])</f>
        <v>#REF!</v>
      </c>
      <c r="J390" s="4">
        <f>DISTÂNCIA3[[#This Row],[Valor CTE]]/DISTÂNCIA3[[#This Row],[KM PARA PAGAMENTO DOS FRETES]]</f>
        <v>5.641282051282051</v>
      </c>
      <c r="K390" s="6">
        <f t="shared" si="16"/>
        <v>551.52</v>
      </c>
      <c r="L390" s="6">
        <f>0.92*DISTÂNCIA3[[#This Row],[KM distancia]]*4.578</f>
        <v>328.51728000000003</v>
      </c>
      <c r="M390" s="6">
        <f t="shared" si="17"/>
        <v>880.04</v>
      </c>
    </row>
    <row r="391" spans="1:13" hidden="1" x14ac:dyDescent="0.35">
      <c r="A391">
        <f>'DASE DADOS - DISTANCIA'!A391</f>
        <v>5007798</v>
      </c>
      <c r="B391" t="str">
        <f>'DASE DADOS - DISTANCIA'!B391</f>
        <v>INGRIT MARLOW</v>
      </c>
      <c r="C391" t="str">
        <f>'DASE DADOS - DISTANCIA'!C391</f>
        <v xml:space="preserve"> A1</v>
      </c>
      <c r="D391" t="str">
        <f>'DASE DADOS - DISTANCIA'!E391</f>
        <v>NOVA SANTA ROSA</v>
      </c>
      <c r="E391" t="str">
        <f>'DASE DADOS - DISTANCIA'!I391</f>
        <v>PLUMA</v>
      </c>
      <c r="F391" s="7">
        <v>91.5</v>
      </c>
      <c r="G391">
        <f>'DASE DADOS - DISTANCIA'!J391</f>
        <v>183</v>
      </c>
      <c r="H391" s="2">
        <v>420</v>
      </c>
      <c r="I391" s="2" t="e">
        <f>IF(#REF!&lt;17200,DISTÂNCIA3[[#This Row],[KM PARA PAGAMENTO DOS FRETES]]*4.74,((#REF!/17200)*4.74)*DISTÂNCIA3[[#This Row],[KM PARA PAGAMENTO DOS FRETES]])</f>
        <v>#REF!</v>
      </c>
      <c r="J391" s="4">
        <f>DISTÂNCIA3[[#This Row],[Valor CTE]]/DISTÂNCIA3[[#This Row],[KM PARA PAGAMENTO DOS FRETES]]</f>
        <v>5.4573770491803284</v>
      </c>
      <c r="K391" s="6">
        <f t="shared" si="16"/>
        <v>613.33000000000004</v>
      </c>
      <c r="L391" s="6">
        <f>0.92*DISTÂNCIA3[[#This Row],[KM distancia]]*4.578</f>
        <v>385.37604000000005</v>
      </c>
      <c r="M391" s="6">
        <f t="shared" si="17"/>
        <v>998.7</v>
      </c>
    </row>
    <row r="392" spans="1:13" hidden="1" x14ac:dyDescent="0.35">
      <c r="A392">
        <f>'DASE DADOS - DISTANCIA'!A392</f>
        <v>3978346</v>
      </c>
      <c r="B392" t="str">
        <f>'DASE DADOS - DISTANCIA'!B392</f>
        <v>ITO DARI RANNOV</v>
      </c>
      <c r="C392" t="str">
        <f>'DASE DADOS - DISTANCIA'!C392</f>
        <v xml:space="preserve"> A4</v>
      </c>
      <c r="D392" t="str">
        <f>'DASE DADOS - DISTANCIA'!E392</f>
        <v>MARECHAL CANDIDO RONDON</v>
      </c>
      <c r="E392" t="str">
        <f>'DASE DADOS - DISTANCIA'!I392</f>
        <v>PLUMA</v>
      </c>
      <c r="F392" s="7">
        <v>110</v>
      </c>
      <c r="G392">
        <f>'DASE DADOS - DISTANCIA'!J392</f>
        <v>220</v>
      </c>
      <c r="H392" s="2">
        <v>420</v>
      </c>
      <c r="I392" s="2" t="e">
        <f>IF(#REF!&lt;17200,DISTÂNCIA3[[#This Row],[KM PARA PAGAMENTO DOS FRETES]]*4.74,((#REF!/17200)*4.74)*DISTÂNCIA3[[#This Row],[KM PARA PAGAMENTO DOS FRETES]])</f>
        <v>#REF!</v>
      </c>
      <c r="J392" s="4">
        <f>DISTÂNCIA3[[#This Row],[Valor CTE]]/DISTÂNCIA3[[#This Row],[KM PARA PAGAMENTO DOS FRETES]]</f>
        <v>5.278681818181818</v>
      </c>
      <c r="K392" s="6">
        <f t="shared" si="16"/>
        <v>698.02</v>
      </c>
      <c r="L392" s="6">
        <f>0.92*DISTÂNCIA3[[#This Row],[KM distancia]]*4.578</f>
        <v>463.29360000000003</v>
      </c>
      <c r="M392" s="6">
        <f t="shared" si="17"/>
        <v>1161.31</v>
      </c>
    </row>
    <row r="393" spans="1:13" hidden="1" x14ac:dyDescent="0.35">
      <c r="A393">
        <f>'DASE DADOS - DISTANCIA'!A393</f>
        <v>3978346</v>
      </c>
      <c r="B393" t="str">
        <f>'DASE DADOS - DISTANCIA'!B393</f>
        <v>ITO DARI RANNOV</v>
      </c>
      <c r="C393" t="str">
        <f>'DASE DADOS - DISTANCIA'!C393</f>
        <v xml:space="preserve"> A2</v>
      </c>
      <c r="D393" t="str">
        <f>'DASE DADOS - DISTANCIA'!E393</f>
        <v>MARECHAL CANDIDO RONDON</v>
      </c>
      <c r="E393" t="str">
        <f>'DASE DADOS - DISTANCIA'!I393</f>
        <v>PLUMA</v>
      </c>
      <c r="F393" s="7">
        <v>110</v>
      </c>
      <c r="G393">
        <f>'DASE DADOS - DISTANCIA'!J393</f>
        <v>220</v>
      </c>
      <c r="H393" s="2">
        <v>420</v>
      </c>
      <c r="I393" s="2" t="e">
        <f>IF(#REF!&lt;17200,DISTÂNCIA3[[#This Row],[KM PARA PAGAMENTO DOS FRETES]]*4.74,((#REF!/17200)*4.74)*DISTÂNCIA3[[#This Row],[KM PARA PAGAMENTO DOS FRETES]])</f>
        <v>#REF!</v>
      </c>
      <c r="J393" s="4">
        <f>DISTÂNCIA3[[#This Row],[Valor CTE]]/DISTÂNCIA3[[#This Row],[KM PARA PAGAMENTO DOS FRETES]]</f>
        <v>5.278681818181818</v>
      </c>
      <c r="K393" s="6">
        <f t="shared" si="16"/>
        <v>698.02</v>
      </c>
      <c r="L393" s="6">
        <f>0.92*DISTÂNCIA3[[#This Row],[KM distancia]]*4.578</f>
        <v>463.29360000000003</v>
      </c>
      <c r="M393" s="6">
        <f t="shared" si="17"/>
        <v>1161.31</v>
      </c>
    </row>
    <row r="394" spans="1:13" hidden="1" x14ac:dyDescent="0.35">
      <c r="A394">
        <f>'DASE DADOS - DISTANCIA'!A394</f>
        <v>3978346</v>
      </c>
      <c r="B394" t="str">
        <f>'DASE DADOS - DISTANCIA'!B394</f>
        <v>ITO DARI RANNOV</v>
      </c>
      <c r="C394" t="str">
        <f>'DASE DADOS - DISTANCIA'!C394</f>
        <v xml:space="preserve"> A1</v>
      </c>
      <c r="D394" t="str">
        <f>'DASE DADOS - DISTANCIA'!E394</f>
        <v>MARECHAL CANDIDO RONDON</v>
      </c>
      <c r="E394" t="str">
        <f>'DASE DADOS - DISTANCIA'!I394</f>
        <v>PLUMA</v>
      </c>
      <c r="F394" s="7">
        <v>110</v>
      </c>
      <c r="G394">
        <f>'DASE DADOS - DISTANCIA'!J394</f>
        <v>220</v>
      </c>
      <c r="H394" s="2">
        <v>420</v>
      </c>
      <c r="I394" s="2" t="e">
        <f>IF(#REF!&lt;17200,DISTÂNCIA3[[#This Row],[KM PARA PAGAMENTO DOS FRETES]]*4.74,((#REF!/17200)*4.74)*DISTÂNCIA3[[#This Row],[KM PARA PAGAMENTO DOS FRETES]])</f>
        <v>#REF!</v>
      </c>
      <c r="J394" s="4">
        <f>DISTÂNCIA3[[#This Row],[Valor CTE]]/DISTÂNCIA3[[#This Row],[KM PARA PAGAMENTO DOS FRETES]]</f>
        <v>5.278681818181818</v>
      </c>
      <c r="K394" s="6">
        <f t="shared" si="16"/>
        <v>698.02</v>
      </c>
      <c r="L394" s="6">
        <f>0.92*DISTÂNCIA3[[#This Row],[KM distancia]]*4.578</f>
        <v>463.29360000000003</v>
      </c>
      <c r="M394" s="6">
        <f t="shared" si="17"/>
        <v>1161.31</v>
      </c>
    </row>
    <row r="395" spans="1:13" hidden="1" x14ac:dyDescent="0.35">
      <c r="A395">
        <f>'DASE DADOS - DISTANCIA'!A395</f>
        <v>3978346</v>
      </c>
      <c r="B395" t="str">
        <f>'DASE DADOS - DISTANCIA'!B395</f>
        <v>ITO DARI RANNOV</v>
      </c>
      <c r="C395" t="str">
        <f>'DASE DADOS - DISTANCIA'!C395</f>
        <v xml:space="preserve"> A3</v>
      </c>
      <c r="D395" t="str">
        <f>'DASE DADOS - DISTANCIA'!E395</f>
        <v>MARECHAL CANDIDO RONDON</v>
      </c>
      <c r="E395" t="str">
        <f>'DASE DADOS - DISTANCIA'!I395</f>
        <v>PLUMA</v>
      </c>
      <c r="F395" s="7">
        <v>110</v>
      </c>
      <c r="G395">
        <f>'DASE DADOS - DISTANCIA'!J395</f>
        <v>220</v>
      </c>
      <c r="H395" s="2">
        <v>420</v>
      </c>
      <c r="I395" s="2" t="e">
        <f>IF(#REF!&lt;17200,DISTÂNCIA3[[#This Row],[KM PARA PAGAMENTO DOS FRETES]]*4.74,((#REF!/17200)*4.74)*DISTÂNCIA3[[#This Row],[KM PARA PAGAMENTO DOS FRETES]])</f>
        <v>#REF!</v>
      </c>
      <c r="J395" s="4">
        <f>DISTÂNCIA3[[#This Row],[Valor CTE]]/DISTÂNCIA3[[#This Row],[KM PARA PAGAMENTO DOS FRETES]]</f>
        <v>5.278681818181818</v>
      </c>
      <c r="K395" s="6">
        <f t="shared" si="16"/>
        <v>698.02</v>
      </c>
      <c r="L395" s="6">
        <f>0.92*DISTÂNCIA3[[#This Row],[KM distancia]]*4.578</f>
        <v>463.29360000000003</v>
      </c>
      <c r="M395" s="6">
        <f t="shared" si="17"/>
        <v>1161.31</v>
      </c>
    </row>
    <row r="396" spans="1:13" hidden="1" x14ac:dyDescent="0.35">
      <c r="A396">
        <f>'DASE DADOS - DISTANCIA'!A396</f>
        <v>0</v>
      </c>
      <c r="B396" t="str">
        <f>'DASE DADOS - DISTANCIA'!B396</f>
        <v>GILMAR CARLOS SCHMITT</v>
      </c>
      <c r="C396" t="str">
        <f>'DASE DADOS - DISTANCIA'!C396</f>
        <v xml:space="preserve"> A2</v>
      </c>
      <c r="D396" t="str">
        <f>'DASE DADOS - DISTANCIA'!E396</f>
        <v>CASCAVEL</v>
      </c>
      <c r="E396" t="str">
        <f>'DASE DADOS - DISTANCIA'!I396</f>
        <v>PLUMA</v>
      </c>
      <c r="F396" s="7">
        <v>32.5</v>
      </c>
      <c r="G396">
        <f>'DASE DADOS - DISTANCIA'!J396</f>
        <v>65</v>
      </c>
      <c r="H396" s="2">
        <v>420</v>
      </c>
      <c r="I396" s="2" t="e">
        <f>IF(#REF!&lt;17200,DISTÂNCIA3[[#This Row],[KM PARA PAGAMENTO DOS FRETES]]*4.74,((#REF!/17200)*4.74)*DISTÂNCIA3[[#This Row],[KM PARA PAGAMENTO DOS FRETES]])</f>
        <v>#REF!</v>
      </c>
      <c r="J396" s="4">
        <f>DISTÂNCIA3[[#This Row],[Valor CTE]]/DISTÂNCIA3[[#This Row],[KM PARA PAGAMENTO DOS FRETES]]</f>
        <v>7.3863076923076925</v>
      </c>
      <c r="K396" s="6">
        <f t="shared" si="16"/>
        <v>343.23</v>
      </c>
      <c r="L396" s="6">
        <f>0.92*DISTÂNCIA3[[#This Row],[KM distancia]]*4.578</f>
        <v>136.88220000000001</v>
      </c>
      <c r="M396" s="6">
        <f t="shared" si="17"/>
        <v>480.11</v>
      </c>
    </row>
    <row r="397" spans="1:13" hidden="1" x14ac:dyDescent="0.35">
      <c r="A397">
        <f>'DASE DADOS - DISTANCIA'!A397</f>
        <v>0</v>
      </c>
      <c r="B397" t="str">
        <f>'DASE DADOS - DISTANCIA'!B397</f>
        <v>GILMAR CARLOS SCHMITT</v>
      </c>
      <c r="C397" t="str">
        <f>'DASE DADOS - DISTANCIA'!C397</f>
        <v xml:space="preserve"> A1</v>
      </c>
      <c r="D397" t="str">
        <f>'DASE DADOS - DISTANCIA'!E397</f>
        <v>CASCAVEL</v>
      </c>
      <c r="E397" t="str">
        <f>'DASE DADOS - DISTANCIA'!I397</f>
        <v>PLUMA</v>
      </c>
      <c r="F397" s="7">
        <v>32.5</v>
      </c>
      <c r="G397">
        <f>'DASE DADOS - DISTANCIA'!J397</f>
        <v>65</v>
      </c>
      <c r="H397" s="2">
        <v>420</v>
      </c>
      <c r="I397" s="2" t="e">
        <f>IF(#REF!&lt;17200,DISTÂNCIA3[[#This Row],[KM PARA PAGAMENTO DOS FRETES]]*4.74,((#REF!/17200)*4.74)*DISTÂNCIA3[[#This Row],[KM PARA PAGAMENTO DOS FRETES]])</f>
        <v>#REF!</v>
      </c>
      <c r="J397" s="4">
        <f>DISTÂNCIA3[[#This Row],[Valor CTE]]/DISTÂNCIA3[[#This Row],[KM PARA PAGAMENTO DOS FRETES]]</f>
        <v>7.3863076923076925</v>
      </c>
      <c r="K397" s="6">
        <f t="shared" si="16"/>
        <v>343.23</v>
      </c>
      <c r="L397" s="6">
        <f>0.92*DISTÂNCIA3[[#This Row],[KM distancia]]*4.578</f>
        <v>136.88220000000001</v>
      </c>
      <c r="M397" s="6">
        <f t="shared" si="17"/>
        <v>480.11</v>
      </c>
    </row>
    <row r="398" spans="1:13" hidden="1" x14ac:dyDescent="0.35">
      <c r="A398">
        <f>'DASE DADOS - DISTANCIA'!A398</f>
        <v>5538718</v>
      </c>
      <c r="B398" t="str">
        <f>'DASE DADOS - DISTANCIA'!B398</f>
        <v>IVANI PICININ SCALCON</v>
      </c>
      <c r="C398" t="str">
        <f>'DASE DADOS - DISTANCIA'!C398</f>
        <v xml:space="preserve"> A1</v>
      </c>
      <c r="D398" t="str">
        <f>'DASE DADOS - DISTANCIA'!E398</f>
        <v>TOLEDO</v>
      </c>
      <c r="E398" t="str">
        <f>'DASE DADOS - DISTANCIA'!I398</f>
        <v>PLUMA</v>
      </c>
      <c r="F398" s="7">
        <v>61</v>
      </c>
      <c r="G398">
        <f>'DASE DADOS - DISTANCIA'!J398</f>
        <v>122</v>
      </c>
      <c r="H398" s="2">
        <v>420</v>
      </c>
      <c r="I398" s="2" t="e">
        <f>IF(#REF!&lt;17200,DISTÂNCIA3[[#This Row],[KM PARA PAGAMENTO DOS FRETES]]*4.74,((#REF!/17200)*4.74)*DISTÂNCIA3[[#This Row],[KM PARA PAGAMENTO DOS FRETES]])</f>
        <v>#REF!</v>
      </c>
      <c r="J398" s="4">
        <f>DISTÂNCIA3[[#This Row],[Valor CTE]]/DISTÂNCIA3[[#This Row],[KM PARA PAGAMENTO DOS FRETES]]</f>
        <v>5.988688524590164</v>
      </c>
      <c r="K398" s="6">
        <f t="shared" si="16"/>
        <v>473.7</v>
      </c>
      <c r="L398" s="6">
        <f>0.92*DISTÂNCIA3[[#This Row],[KM distancia]]*4.578</f>
        <v>256.91736000000003</v>
      </c>
      <c r="M398" s="6">
        <f t="shared" si="17"/>
        <v>730.62</v>
      </c>
    </row>
    <row r="399" spans="1:13" hidden="1" x14ac:dyDescent="0.35">
      <c r="A399">
        <f>'DASE DADOS - DISTANCIA'!A399</f>
        <v>5538718</v>
      </c>
      <c r="B399" t="str">
        <f>'DASE DADOS - DISTANCIA'!B399</f>
        <v>IVANI PICININ SCALCON</v>
      </c>
      <c r="C399" t="str">
        <f>'DASE DADOS - DISTANCIA'!C399</f>
        <v xml:space="preserve"> A2</v>
      </c>
      <c r="D399" t="str">
        <f>'DASE DADOS - DISTANCIA'!E399</f>
        <v>TOLEDO</v>
      </c>
      <c r="E399" t="str">
        <f>'DASE DADOS - DISTANCIA'!I399</f>
        <v>PLUMA</v>
      </c>
      <c r="F399" s="7">
        <v>61</v>
      </c>
      <c r="G399">
        <f>'DASE DADOS - DISTANCIA'!J399</f>
        <v>122</v>
      </c>
      <c r="H399" s="2">
        <v>420</v>
      </c>
      <c r="I399" s="2" t="e">
        <f>IF(#REF!&lt;17200,DISTÂNCIA3[[#This Row],[KM PARA PAGAMENTO DOS FRETES]]*4.74,((#REF!/17200)*4.74)*DISTÂNCIA3[[#This Row],[KM PARA PAGAMENTO DOS FRETES]])</f>
        <v>#REF!</v>
      </c>
      <c r="J399" s="4">
        <f>DISTÂNCIA3[[#This Row],[Valor CTE]]/DISTÂNCIA3[[#This Row],[KM PARA PAGAMENTO DOS FRETES]]</f>
        <v>5.988688524590164</v>
      </c>
      <c r="K399" s="6">
        <f t="shared" si="16"/>
        <v>473.7</v>
      </c>
      <c r="L399" s="6">
        <f>0.92*DISTÂNCIA3[[#This Row],[KM distancia]]*4.578</f>
        <v>256.91736000000003</v>
      </c>
      <c r="M399" s="6">
        <f t="shared" si="17"/>
        <v>730.62</v>
      </c>
    </row>
    <row r="400" spans="1:13" hidden="1" x14ac:dyDescent="0.35">
      <c r="A400">
        <f>'DASE DADOS - DISTANCIA'!A400</f>
        <v>0</v>
      </c>
      <c r="B400" t="str">
        <f>'DASE DADOS - DISTANCIA'!B400</f>
        <v>GLACY MADALENA STOEBERL</v>
      </c>
      <c r="C400" t="str">
        <f>'DASE DADOS - DISTANCIA'!C400</f>
        <v xml:space="preserve"> A1</v>
      </c>
      <c r="D400" t="str">
        <f>'DASE DADOS - DISTANCIA'!E400</f>
        <v>CASCAVEL</v>
      </c>
      <c r="E400" t="str">
        <f>'DASE DADOS - DISTANCIA'!I400</f>
        <v>PLUMA</v>
      </c>
      <c r="F400" s="7">
        <v>32.5</v>
      </c>
      <c r="G400">
        <f>'DASE DADOS - DISTANCIA'!J400</f>
        <v>65</v>
      </c>
      <c r="H400" s="2">
        <v>420</v>
      </c>
      <c r="I400" s="2" t="e">
        <f>IF(#REF!&lt;17200,DISTÂNCIA3[[#This Row],[KM PARA PAGAMENTO DOS FRETES]]*4.74,((#REF!/17200)*4.74)*DISTÂNCIA3[[#This Row],[KM PARA PAGAMENTO DOS FRETES]])</f>
        <v>#REF!</v>
      </c>
      <c r="J400" s="4">
        <f>DISTÂNCIA3[[#This Row],[Valor CTE]]/DISTÂNCIA3[[#This Row],[KM PARA PAGAMENTO DOS FRETES]]</f>
        <v>7.3863076923076925</v>
      </c>
      <c r="K400" s="6">
        <f t="shared" si="16"/>
        <v>343.23</v>
      </c>
      <c r="L400" s="6">
        <f>0.92*DISTÂNCIA3[[#This Row],[KM distancia]]*4.578</f>
        <v>136.88220000000001</v>
      </c>
      <c r="M400" s="6">
        <f t="shared" si="17"/>
        <v>480.11</v>
      </c>
    </row>
    <row r="401" spans="1:13" hidden="1" x14ac:dyDescent="0.35">
      <c r="A401">
        <f>'DASE DADOS - DISTANCIA'!A401</f>
        <v>30078</v>
      </c>
      <c r="B401" t="str">
        <f>'DASE DADOS - DISTANCIA'!B401</f>
        <v>JACI BOEGER</v>
      </c>
      <c r="C401" t="str">
        <f>'DASE DADOS - DISTANCIA'!C401</f>
        <v xml:space="preserve"> A1</v>
      </c>
      <c r="D401" t="str">
        <f>'DASE DADOS - DISTANCIA'!E401</f>
        <v>TRÊS BARRAS DO PARANÁ</v>
      </c>
      <c r="E401" t="str">
        <f>'DASE DADOS - DISTANCIA'!I401</f>
        <v>PLUSVAL</v>
      </c>
      <c r="F401" s="7">
        <v>117</v>
      </c>
      <c r="G401">
        <f>'DASE DADOS - DISTANCIA'!J401</f>
        <v>234</v>
      </c>
      <c r="H401" s="2">
        <v>420</v>
      </c>
      <c r="I401" s="2" t="e">
        <f>IF(#REF!&lt;17200,DISTÂNCIA3[[#This Row],[KM PARA PAGAMENTO DOS FRETES]]*4.74,((#REF!/17200)*4.74)*DISTÂNCIA3[[#This Row],[KM PARA PAGAMENTO DOS FRETES]])</f>
        <v>#REF!</v>
      </c>
      <c r="J401" s="4">
        <f>DISTÂNCIA3[[#This Row],[Valor CTE]]/DISTÂNCIA3[[#This Row],[KM PARA PAGAMENTO DOS FRETES]]</f>
        <v>5.2258119658119657</v>
      </c>
      <c r="K401" s="6">
        <f t="shared" si="16"/>
        <v>730.07</v>
      </c>
      <c r="L401" s="6">
        <f>0.92*DISTÂNCIA3[[#This Row],[KM distancia]]*4.578</f>
        <v>492.77592000000004</v>
      </c>
      <c r="M401" s="6">
        <f t="shared" si="17"/>
        <v>1222.8399999999999</v>
      </c>
    </row>
    <row r="402" spans="1:13" hidden="1" x14ac:dyDescent="0.35">
      <c r="A402">
        <f>'DASE DADOS - DISTANCIA'!A402</f>
        <v>30078</v>
      </c>
      <c r="B402" t="str">
        <f>'DASE DADOS - DISTANCIA'!B402</f>
        <v>JACI BOEGER</v>
      </c>
      <c r="C402" t="str">
        <f>'DASE DADOS - DISTANCIA'!C402</f>
        <v xml:space="preserve"> A2</v>
      </c>
      <c r="D402" t="str">
        <f>'DASE DADOS - DISTANCIA'!E402</f>
        <v>TRÊS BARRAS DO PARANÁ</v>
      </c>
      <c r="E402" t="str">
        <f>'DASE DADOS - DISTANCIA'!I402</f>
        <v>PLUSVAL</v>
      </c>
      <c r="F402" s="7">
        <v>117</v>
      </c>
      <c r="G402">
        <f>'DASE DADOS - DISTANCIA'!J402</f>
        <v>234</v>
      </c>
      <c r="H402" s="2">
        <v>420</v>
      </c>
      <c r="I402" s="2" t="e">
        <f>IF(#REF!&lt;17200,DISTÂNCIA3[[#This Row],[KM PARA PAGAMENTO DOS FRETES]]*4.74,((#REF!/17200)*4.74)*DISTÂNCIA3[[#This Row],[KM PARA PAGAMENTO DOS FRETES]])</f>
        <v>#REF!</v>
      </c>
      <c r="J402" s="4">
        <f>DISTÂNCIA3[[#This Row],[Valor CTE]]/DISTÂNCIA3[[#This Row],[KM PARA PAGAMENTO DOS FRETES]]</f>
        <v>5.2258119658119657</v>
      </c>
      <c r="K402" s="6">
        <f t="shared" si="16"/>
        <v>730.07</v>
      </c>
      <c r="L402" s="6">
        <f>0.92*DISTÂNCIA3[[#This Row],[KM distancia]]*4.578</f>
        <v>492.77592000000004</v>
      </c>
      <c r="M402" s="6">
        <f t="shared" si="17"/>
        <v>1222.8399999999999</v>
      </c>
    </row>
    <row r="403" spans="1:13" hidden="1" x14ac:dyDescent="0.35">
      <c r="A403">
        <f>'DASE DADOS - DISTANCIA'!A403</f>
        <v>29438</v>
      </c>
      <c r="B403" t="str">
        <f>'DASE DADOS - DISTANCIA'!B403</f>
        <v>JACIR LUIZ BASSANESI</v>
      </c>
      <c r="C403" t="str">
        <f>'DASE DADOS - DISTANCIA'!C403</f>
        <v xml:space="preserve"> A1</v>
      </c>
      <c r="D403" t="str">
        <f>'DASE DADOS - DISTANCIA'!E403</f>
        <v>BOM JESUS DO SUL</v>
      </c>
      <c r="E403" t="str">
        <f>'DASE DADOS - DISTANCIA'!I403</f>
        <v>PLUSVAL</v>
      </c>
      <c r="F403" s="7">
        <v>178</v>
      </c>
      <c r="G403">
        <f>'DASE DADOS - DISTANCIA'!J403</f>
        <v>356</v>
      </c>
      <c r="H403" s="2">
        <v>420</v>
      </c>
      <c r="I403" s="2" t="e">
        <f>IF(#REF!&lt;17200,DISTÂNCIA3[[#This Row],[KM PARA PAGAMENTO DOS FRETES]]*4.74,((#REF!/17200)*4.74)*DISTÂNCIA3[[#This Row],[KM PARA PAGAMENTO DOS FRETES]])</f>
        <v>#REF!</v>
      </c>
      <c r="J403" s="4">
        <f>DISTÂNCIA3[[#This Row],[Valor CTE]]/DISTÂNCIA3[[#This Row],[KM PARA PAGAMENTO DOS FRETES]]</f>
        <v>4.9410674157303367</v>
      </c>
      <c r="K403" s="6">
        <f t="shared" si="16"/>
        <v>1009.32</v>
      </c>
      <c r="L403" s="6">
        <f>0.92*DISTÂNCIA3[[#This Row],[KM distancia]]*4.578</f>
        <v>749.69328000000019</v>
      </c>
      <c r="M403" s="6">
        <f t="shared" si="17"/>
        <v>1759.02</v>
      </c>
    </row>
    <row r="404" spans="1:13" hidden="1" x14ac:dyDescent="0.35">
      <c r="A404">
        <f>'DASE DADOS - DISTANCIA'!A404</f>
        <v>0</v>
      </c>
      <c r="B404" t="str">
        <f>'DASE DADOS - DISTANCIA'!B404</f>
        <v>HAMILTON LUIZ PETRACH</v>
      </c>
      <c r="C404" t="str">
        <f>'DASE DADOS - DISTANCIA'!C404</f>
        <v xml:space="preserve"> A1</v>
      </c>
      <c r="D404" t="str">
        <f>'DASE DADOS - DISTANCIA'!E404</f>
        <v>CASCAVEL</v>
      </c>
      <c r="E404" t="str">
        <f>'DASE DADOS - DISTANCIA'!I404</f>
        <v>PLUMA</v>
      </c>
      <c r="F404" s="7">
        <v>23</v>
      </c>
      <c r="G404">
        <f>'DASE DADOS - DISTANCIA'!J404</f>
        <v>46</v>
      </c>
      <c r="H404" s="2">
        <v>420</v>
      </c>
      <c r="I404" s="2" t="e">
        <f>IF(#REF!&lt;17200,DISTÂNCIA3[[#This Row],[KM PARA PAGAMENTO DOS FRETES]]*4.74,((#REF!/17200)*4.74)*DISTÂNCIA3[[#This Row],[KM PARA PAGAMENTO DOS FRETES]])</f>
        <v>#REF!</v>
      </c>
      <c r="J404" s="4">
        <f>DISTÂNCIA3[[#This Row],[Valor CTE]]/DISTÂNCIA3[[#This Row],[KM PARA PAGAMENTO DOS FRETES]]</f>
        <v>8.6217391304347828</v>
      </c>
      <c r="K404" s="6">
        <f t="shared" si="16"/>
        <v>299.73</v>
      </c>
      <c r="L404" s="6">
        <f>0.92*DISTÂNCIA3[[#This Row],[KM distancia]]*4.578</f>
        <v>96.870480000000001</v>
      </c>
      <c r="M404" s="6">
        <f t="shared" si="17"/>
        <v>396.6</v>
      </c>
    </row>
    <row r="405" spans="1:13" hidden="1" x14ac:dyDescent="0.35">
      <c r="A405">
        <f>'DASE DADOS - DISTANCIA'!A405</f>
        <v>1111116</v>
      </c>
      <c r="B405" t="str">
        <f>'DASE DADOS - DISTANCIA'!B405</f>
        <v>JACIR LUIZ CAPELESSO</v>
      </c>
      <c r="C405" t="str">
        <f>'DASE DADOS - DISTANCIA'!C405</f>
        <v xml:space="preserve"> A2</v>
      </c>
      <c r="D405" t="str">
        <f>'DASE DADOS - DISTANCIA'!E405</f>
        <v>SANTA LÚCIA</v>
      </c>
      <c r="E405" t="str">
        <f>'DASE DADOS - DISTANCIA'!I405</f>
        <v>PLUSVAL</v>
      </c>
      <c r="F405" s="7">
        <v>67</v>
      </c>
      <c r="G405">
        <f>'DASE DADOS - DISTANCIA'!J405</f>
        <v>134</v>
      </c>
      <c r="H405" s="2">
        <v>420</v>
      </c>
      <c r="I405" s="2" t="e">
        <f>IF(#REF!&lt;17200,DISTÂNCIA3[[#This Row],[KM PARA PAGAMENTO DOS FRETES]]*4.74,((#REF!/17200)*4.74)*DISTÂNCIA3[[#This Row],[KM PARA PAGAMENTO DOS FRETES]])</f>
        <v>#REF!</v>
      </c>
      <c r="J405" s="4">
        <f>DISTÂNCIA3[[#This Row],[Valor CTE]]/DISTÂNCIA3[[#This Row],[KM PARA PAGAMENTO DOS FRETES]]</f>
        <v>5.8458955223880595</v>
      </c>
      <c r="K405" s="6">
        <f t="shared" si="16"/>
        <v>501.17</v>
      </c>
      <c r="L405" s="6">
        <f>0.92*DISTÂNCIA3[[#This Row],[KM distancia]]*4.578</f>
        <v>282.18792000000002</v>
      </c>
      <c r="M405" s="6">
        <f t="shared" si="17"/>
        <v>783.35</v>
      </c>
    </row>
    <row r="406" spans="1:13" hidden="1" x14ac:dyDescent="0.35">
      <c r="A406">
        <f>'DASE DADOS - DISTANCIA'!A406</f>
        <v>1111116</v>
      </c>
      <c r="B406" t="str">
        <f>'DASE DADOS - DISTANCIA'!B406</f>
        <v>JACIR LUIZ CAPELESSO</v>
      </c>
      <c r="C406" t="str">
        <f>'DASE DADOS - DISTANCIA'!C406</f>
        <v xml:space="preserve"> A1</v>
      </c>
      <c r="D406" t="str">
        <f>'DASE DADOS - DISTANCIA'!E406</f>
        <v>SANTA LÚCIA</v>
      </c>
      <c r="E406" t="str">
        <f>'DASE DADOS - DISTANCIA'!I406</f>
        <v>PLUSVAL</v>
      </c>
      <c r="F406" s="7">
        <v>67</v>
      </c>
      <c r="G406">
        <f>'DASE DADOS - DISTANCIA'!J406</f>
        <v>134</v>
      </c>
      <c r="H406" s="2">
        <v>420</v>
      </c>
      <c r="I406" s="2" t="e">
        <f>IF(#REF!&lt;17200,DISTÂNCIA3[[#This Row],[KM PARA PAGAMENTO DOS FRETES]]*4.74,((#REF!/17200)*4.74)*DISTÂNCIA3[[#This Row],[KM PARA PAGAMENTO DOS FRETES]])</f>
        <v>#REF!</v>
      </c>
      <c r="J406" s="4">
        <f>DISTÂNCIA3[[#This Row],[Valor CTE]]/DISTÂNCIA3[[#This Row],[KM PARA PAGAMENTO DOS FRETES]]</f>
        <v>5.8458955223880595</v>
      </c>
      <c r="K406" s="6">
        <f t="shared" si="16"/>
        <v>501.17</v>
      </c>
      <c r="L406" s="6">
        <f>0.92*DISTÂNCIA3[[#This Row],[KM distancia]]*4.578</f>
        <v>282.18792000000002</v>
      </c>
      <c r="M406" s="6">
        <f t="shared" si="17"/>
        <v>783.35</v>
      </c>
    </row>
    <row r="407" spans="1:13" hidden="1" x14ac:dyDescent="0.35">
      <c r="A407">
        <f>'DASE DADOS - DISTANCIA'!A407</f>
        <v>6371060</v>
      </c>
      <c r="B407" t="str">
        <f>'DASE DADOS - DISTANCIA'!B407</f>
        <v>JAIR KRAIESKI</v>
      </c>
      <c r="C407" t="str">
        <f>'DASE DADOS - DISTANCIA'!C407</f>
        <v xml:space="preserve"> A1</v>
      </c>
      <c r="D407" t="str">
        <f>'DASE DADOS - DISTANCIA'!E407</f>
        <v>VERA CRUZ DO OESTE</v>
      </c>
      <c r="E407" t="str">
        <f>'DASE DADOS - DISTANCIA'!I407</f>
        <v>PLUMA</v>
      </c>
      <c r="F407" s="7">
        <v>48.5</v>
      </c>
      <c r="G407">
        <f>'DASE DADOS - DISTANCIA'!J407</f>
        <v>97</v>
      </c>
      <c r="H407" s="2">
        <v>420</v>
      </c>
      <c r="I407" s="2" t="e">
        <f>IF(#REF!&lt;17200,DISTÂNCIA3[[#This Row],[KM PARA PAGAMENTO DOS FRETES]]*4.74,((#REF!/17200)*4.74)*DISTÂNCIA3[[#This Row],[KM PARA PAGAMENTO DOS FRETES]])</f>
        <v>#REF!</v>
      </c>
      <c r="J407" s="4">
        <f>DISTÂNCIA3[[#This Row],[Valor CTE]]/DISTÂNCIA3[[#This Row],[KM PARA PAGAMENTO DOS FRETES]]</f>
        <v>6.3993814432989691</v>
      </c>
      <c r="K407" s="6">
        <f t="shared" si="16"/>
        <v>416.47</v>
      </c>
      <c r="L407" s="6">
        <f>0.92*DISTÂNCIA3[[#This Row],[KM distancia]]*4.578</f>
        <v>204.27036000000004</v>
      </c>
      <c r="M407" s="6">
        <f t="shared" si="17"/>
        <v>620.74</v>
      </c>
    </row>
    <row r="408" spans="1:13" hidden="1" x14ac:dyDescent="0.35">
      <c r="A408">
        <f>'DASE DADOS - DISTANCIA'!A408</f>
        <v>30463</v>
      </c>
      <c r="B408" t="str">
        <f>'DASE DADOS - DISTANCIA'!B408</f>
        <v>JANDIR ESCHEMBACH</v>
      </c>
      <c r="C408" t="str">
        <f>'DASE DADOS - DISTANCIA'!C408</f>
        <v xml:space="preserve"> A1</v>
      </c>
      <c r="D408" t="str">
        <f>'DASE DADOS - DISTANCIA'!E408</f>
        <v>CAPANEMA</v>
      </c>
      <c r="E408" t="str">
        <f>'DASE DADOS - DISTANCIA'!I408</f>
        <v>PLUSVAL</v>
      </c>
      <c r="F408" s="7">
        <v>123.5</v>
      </c>
      <c r="G408">
        <f>'DASE DADOS - DISTANCIA'!J408</f>
        <v>247</v>
      </c>
      <c r="H408" s="2">
        <v>420</v>
      </c>
      <c r="I408" s="2" t="e">
        <f>IF(#REF!&lt;17200,DISTÂNCIA3[[#This Row],[KM PARA PAGAMENTO DOS FRETES]]*4.74,((#REF!/17200)*4.74)*DISTÂNCIA3[[#This Row],[KM PARA PAGAMENTO DOS FRETES]])</f>
        <v>#REF!</v>
      </c>
      <c r="J408" s="4">
        <f>DISTÂNCIA3[[#This Row],[Valor CTE]]/DISTÂNCIA3[[#This Row],[KM PARA PAGAMENTO DOS FRETES]]</f>
        <v>5.1821052631578945</v>
      </c>
      <c r="K408" s="6">
        <f t="shared" si="16"/>
        <v>759.82</v>
      </c>
      <c r="L408" s="6">
        <f>0.92*DISTÂNCIA3[[#This Row],[KM distancia]]*4.578</f>
        <v>520.15236000000004</v>
      </c>
      <c r="M408" s="6">
        <f t="shared" si="17"/>
        <v>1279.98</v>
      </c>
    </row>
    <row r="409" spans="1:13" hidden="1" x14ac:dyDescent="0.35">
      <c r="A409">
        <f>'DASE DADOS - DISTANCIA'!A409</f>
        <v>6363318</v>
      </c>
      <c r="B409" t="str">
        <f>'DASE DADOS - DISTANCIA'!B409</f>
        <v>JHONY ALFREDO SCHNEIDER</v>
      </c>
      <c r="C409" t="str">
        <f>'DASE DADOS - DISTANCIA'!C409</f>
        <v xml:space="preserve"> A1</v>
      </c>
      <c r="D409" t="str">
        <f>'DASE DADOS - DISTANCIA'!E409</f>
        <v>TOLEDO</v>
      </c>
      <c r="E409" t="str">
        <f>'DASE DADOS - DISTANCIA'!I409</f>
        <v>PLUMA</v>
      </c>
      <c r="F409" s="7">
        <v>78</v>
      </c>
      <c r="G409">
        <f>'DASE DADOS - DISTANCIA'!J409</f>
        <v>156</v>
      </c>
      <c r="H409" s="2">
        <v>420</v>
      </c>
      <c r="I409" s="2" t="e">
        <f>IF(#REF!&lt;17200,DISTÂNCIA3[[#This Row],[KM PARA PAGAMENTO DOS FRETES]]*4.74,((#REF!/17200)*4.74)*DISTÂNCIA3[[#This Row],[KM PARA PAGAMENTO DOS FRETES]])</f>
        <v>#REF!</v>
      </c>
      <c r="J409" s="4">
        <f>DISTÂNCIA3[[#This Row],[Valor CTE]]/DISTÂNCIA3[[#This Row],[KM PARA PAGAMENTO DOS FRETES]]</f>
        <v>5.641282051282051</v>
      </c>
      <c r="K409" s="6">
        <f t="shared" si="16"/>
        <v>551.52</v>
      </c>
      <c r="L409" s="6">
        <f>0.92*DISTÂNCIA3[[#This Row],[KM distancia]]*4.578</f>
        <v>328.51728000000003</v>
      </c>
      <c r="M409" s="6">
        <f t="shared" si="17"/>
        <v>880.04</v>
      </c>
    </row>
    <row r="410" spans="1:13" hidden="1" x14ac:dyDescent="0.35">
      <c r="A410">
        <f>'DASE DADOS - DISTANCIA'!A410</f>
        <v>0</v>
      </c>
      <c r="B410" t="str">
        <f>'DASE DADOS - DISTANCIA'!B410</f>
        <v>HERMES ROBERTO BONATTO</v>
      </c>
      <c r="C410" t="str">
        <f>'DASE DADOS - DISTANCIA'!C410</f>
        <v xml:space="preserve"> A1</v>
      </c>
      <c r="D410" t="str">
        <f>'DASE DADOS - DISTANCIA'!E410</f>
        <v>CASCAVEL</v>
      </c>
      <c r="E410" t="str">
        <f>'DASE DADOS - DISTANCIA'!I410</f>
        <v>PLUMA</v>
      </c>
      <c r="F410" s="7">
        <v>19.5</v>
      </c>
      <c r="G410">
        <f>'DASE DADOS - DISTANCIA'!J410</f>
        <v>39</v>
      </c>
      <c r="H410" s="2">
        <v>420</v>
      </c>
      <c r="I410" s="2" t="e">
        <f>IF(#REF!&lt;17200,DISTÂNCIA3[[#This Row],[KM PARA PAGAMENTO DOS FRETES]]*4.74,((#REF!/17200)*4.74)*DISTÂNCIA3[[#This Row],[KM PARA PAGAMENTO DOS FRETES]])</f>
        <v>#REF!</v>
      </c>
      <c r="J410" s="4">
        <f>DISTÂNCIA3[[#This Row],[Valor CTE]]/DISTÂNCIA3[[#This Row],[KM PARA PAGAMENTO DOS FRETES]]</f>
        <v>9.3805128205128199</v>
      </c>
      <c r="K410" s="6">
        <f t="shared" si="16"/>
        <v>283.70999999999998</v>
      </c>
      <c r="L410" s="6">
        <f>0.92*DISTÂNCIA3[[#This Row],[KM distancia]]*4.578</f>
        <v>82.129320000000007</v>
      </c>
      <c r="M410" s="6">
        <f t="shared" si="17"/>
        <v>365.84</v>
      </c>
    </row>
    <row r="411" spans="1:13" hidden="1" x14ac:dyDescent="0.35">
      <c r="A411">
        <f>'DASE DADOS - DISTANCIA'!A411</f>
        <v>6363326</v>
      </c>
      <c r="B411" t="str">
        <f>'DASE DADOS - DISTANCIA'!B411</f>
        <v>JOAO CLAUDIO CANO</v>
      </c>
      <c r="C411" t="str">
        <f>'DASE DADOS - DISTANCIA'!C411</f>
        <v xml:space="preserve"> A4</v>
      </c>
      <c r="D411" t="str">
        <f>'DASE DADOS - DISTANCIA'!E411</f>
        <v>ASSIS CHATEAUBRIAND</v>
      </c>
      <c r="E411" t="str">
        <f>'DASE DADOS - DISTANCIA'!I411</f>
        <v>PLUMA</v>
      </c>
      <c r="F411" s="7">
        <v>69.5</v>
      </c>
      <c r="G411">
        <f>'DASE DADOS - DISTANCIA'!J411</f>
        <v>139</v>
      </c>
      <c r="H411" s="2">
        <v>420</v>
      </c>
      <c r="I411" s="2" t="e">
        <f>IF(#REF!&lt;17200,DISTÂNCIA3[[#This Row],[KM PARA PAGAMENTO DOS FRETES]]*4.74,((#REF!/17200)*4.74)*DISTÂNCIA3[[#This Row],[KM PARA PAGAMENTO DOS FRETES]])</f>
        <v>#REF!</v>
      </c>
      <c r="J411" s="4">
        <f>DISTÂNCIA3[[#This Row],[Valor CTE]]/DISTÂNCIA3[[#This Row],[KM PARA PAGAMENTO DOS FRETES]]</f>
        <v>5.793741007194245</v>
      </c>
      <c r="K411" s="6">
        <f t="shared" si="16"/>
        <v>512.61</v>
      </c>
      <c r="L411" s="6">
        <f>0.92*DISTÂNCIA3[[#This Row],[KM distancia]]*4.578</f>
        <v>292.71732000000003</v>
      </c>
      <c r="M411" s="6">
        <f t="shared" si="17"/>
        <v>805.33</v>
      </c>
    </row>
    <row r="412" spans="1:13" hidden="1" x14ac:dyDescent="0.35">
      <c r="A412">
        <f>'DASE DADOS - DISTANCIA'!A412</f>
        <v>6363326</v>
      </c>
      <c r="B412" t="str">
        <f>'DASE DADOS - DISTANCIA'!B412</f>
        <v>JOAO CLAUDIO CANO</v>
      </c>
      <c r="C412" t="str">
        <f>'DASE DADOS - DISTANCIA'!C412</f>
        <v xml:space="preserve"> A1</v>
      </c>
      <c r="D412" t="str">
        <f>'DASE DADOS - DISTANCIA'!E412</f>
        <v>ASSIS CHATEAUBRIAND</v>
      </c>
      <c r="E412" t="str">
        <f>'DASE DADOS - DISTANCIA'!I412</f>
        <v>PLUMA</v>
      </c>
      <c r="F412" s="7">
        <v>69.5</v>
      </c>
      <c r="G412">
        <f>'DASE DADOS - DISTANCIA'!J412</f>
        <v>139</v>
      </c>
      <c r="H412" s="2">
        <v>420</v>
      </c>
      <c r="I412" s="2" t="e">
        <f>IF(#REF!&lt;17200,DISTÂNCIA3[[#This Row],[KM PARA PAGAMENTO DOS FRETES]]*4.74,((#REF!/17200)*4.74)*DISTÂNCIA3[[#This Row],[KM PARA PAGAMENTO DOS FRETES]])</f>
        <v>#REF!</v>
      </c>
      <c r="J412" s="4">
        <f>DISTÂNCIA3[[#This Row],[Valor CTE]]/DISTÂNCIA3[[#This Row],[KM PARA PAGAMENTO DOS FRETES]]</f>
        <v>5.793741007194245</v>
      </c>
      <c r="K412" s="6">
        <f t="shared" si="16"/>
        <v>512.61</v>
      </c>
      <c r="L412" s="6">
        <f>0.92*DISTÂNCIA3[[#This Row],[KM distancia]]*4.578</f>
        <v>292.71732000000003</v>
      </c>
      <c r="M412" s="6">
        <f t="shared" si="17"/>
        <v>805.33</v>
      </c>
    </row>
    <row r="413" spans="1:13" hidden="1" x14ac:dyDescent="0.35">
      <c r="A413">
        <f>'DASE DADOS - DISTANCIA'!A413</f>
        <v>6363326</v>
      </c>
      <c r="B413" t="str">
        <f>'DASE DADOS - DISTANCIA'!B413</f>
        <v>JOAO CLAUDIO CANO</v>
      </c>
      <c r="C413" t="str">
        <f>'DASE DADOS - DISTANCIA'!C413</f>
        <v xml:space="preserve"> A2</v>
      </c>
      <c r="D413" t="str">
        <f>'DASE DADOS - DISTANCIA'!E413</f>
        <v>ASSIS CHATEAUBRIAND</v>
      </c>
      <c r="E413" t="str">
        <f>'DASE DADOS - DISTANCIA'!I413</f>
        <v>PLUMA</v>
      </c>
      <c r="F413" s="7">
        <v>69.5</v>
      </c>
      <c r="G413">
        <f>'DASE DADOS - DISTANCIA'!J413</f>
        <v>139</v>
      </c>
      <c r="H413" s="2">
        <v>420</v>
      </c>
      <c r="I413" s="2" t="e">
        <f>IF(#REF!&lt;17200,DISTÂNCIA3[[#This Row],[KM PARA PAGAMENTO DOS FRETES]]*4.74,((#REF!/17200)*4.74)*DISTÂNCIA3[[#This Row],[KM PARA PAGAMENTO DOS FRETES]])</f>
        <v>#REF!</v>
      </c>
      <c r="J413" s="4">
        <f>DISTÂNCIA3[[#This Row],[Valor CTE]]/DISTÂNCIA3[[#This Row],[KM PARA PAGAMENTO DOS FRETES]]</f>
        <v>5.793741007194245</v>
      </c>
      <c r="K413" s="6">
        <f t="shared" si="16"/>
        <v>512.61</v>
      </c>
      <c r="L413" s="6">
        <f>0.92*DISTÂNCIA3[[#This Row],[KM distancia]]*4.578</f>
        <v>292.71732000000003</v>
      </c>
      <c r="M413" s="6">
        <f t="shared" si="17"/>
        <v>805.33</v>
      </c>
    </row>
    <row r="414" spans="1:13" hidden="1" x14ac:dyDescent="0.35">
      <c r="A414">
        <f>'DASE DADOS - DISTANCIA'!A414</f>
        <v>6363326</v>
      </c>
      <c r="B414" t="str">
        <f>'DASE DADOS - DISTANCIA'!B414</f>
        <v>JOAO CLAUDIO CANO</v>
      </c>
      <c r="C414" t="str">
        <f>'DASE DADOS - DISTANCIA'!C414</f>
        <v xml:space="preserve"> A3</v>
      </c>
      <c r="D414" t="str">
        <f>'DASE DADOS - DISTANCIA'!E414</f>
        <v>ASSIS CHATEAUBRIAND</v>
      </c>
      <c r="E414" t="str">
        <f>'DASE DADOS - DISTANCIA'!I414</f>
        <v>PLUMA</v>
      </c>
      <c r="F414" s="7">
        <v>69.5</v>
      </c>
      <c r="G414">
        <f>'DASE DADOS - DISTANCIA'!J414</f>
        <v>139</v>
      </c>
      <c r="H414" s="2">
        <v>420</v>
      </c>
      <c r="I414" s="2" t="e">
        <f>IF(#REF!&lt;17200,DISTÂNCIA3[[#This Row],[KM PARA PAGAMENTO DOS FRETES]]*4.74,((#REF!/17200)*4.74)*DISTÂNCIA3[[#This Row],[KM PARA PAGAMENTO DOS FRETES]])</f>
        <v>#REF!</v>
      </c>
      <c r="J414" s="4">
        <f>DISTÂNCIA3[[#This Row],[Valor CTE]]/DISTÂNCIA3[[#This Row],[KM PARA PAGAMENTO DOS FRETES]]</f>
        <v>5.793741007194245</v>
      </c>
      <c r="K414" s="6">
        <f t="shared" si="16"/>
        <v>512.61</v>
      </c>
      <c r="L414" s="6">
        <f>0.92*DISTÂNCIA3[[#This Row],[KM distancia]]*4.578</f>
        <v>292.71732000000003</v>
      </c>
      <c r="M414" s="6">
        <f t="shared" si="17"/>
        <v>805.33</v>
      </c>
    </row>
    <row r="415" spans="1:13" hidden="1" x14ac:dyDescent="0.35">
      <c r="A415">
        <f>'DASE DADOS - DISTANCIA'!A415</f>
        <v>29439</v>
      </c>
      <c r="B415" t="str">
        <f>'DASE DADOS - DISTANCIA'!B415</f>
        <v>JOAO MARCOS CASTRO BASSANESI</v>
      </c>
      <c r="C415" t="str">
        <f>'DASE DADOS - DISTANCIA'!C415</f>
        <v xml:space="preserve"> A1</v>
      </c>
      <c r="D415" t="str">
        <f>'DASE DADOS - DISTANCIA'!E415</f>
        <v>BOM JESUS DO SUL</v>
      </c>
      <c r="E415" t="str">
        <f>'DASE DADOS - DISTANCIA'!I415</f>
        <v>PLUSVAL</v>
      </c>
      <c r="F415" s="7">
        <v>178</v>
      </c>
      <c r="G415">
        <f>'DASE DADOS - DISTANCIA'!J415</f>
        <v>356</v>
      </c>
      <c r="H415" s="2">
        <v>420</v>
      </c>
      <c r="I415" s="2" t="e">
        <f>IF(#REF!&lt;17200,DISTÂNCIA3[[#This Row],[KM PARA PAGAMENTO DOS FRETES]]*4.74,((#REF!/17200)*4.74)*DISTÂNCIA3[[#This Row],[KM PARA PAGAMENTO DOS FRETES]])</f>
        <v>#REF!</v>
      </c>
      <c r="J415" s="4">
        <f>DISTÂNCIA3[[#This Row],[Valor CTE]]/DISTÂNCIA3[[#This Row],[KM PARA PAGAMENTO DOS FRETES]]</f>
        <v>4.9410674157303367</v>
      </c>
      <c r="K415" s="6">
        <f t="shared" si="16"/>
        <v>1009.32</v>
      </c>
      <c r="L415" s="6">
        <f>0.92*DISTÂNCIA3[[#This Row],[KM distancia]]*4.578</f>
        <v>749.69328000000019</v>
      </c>
      <c r="M415" s="6">
        <f t="shared" si="17"/>
        <v>1759.02</v>
      </c>
    </row>
    <row r="416" spans="1:13" hidden="1" x14ac:dyDescent="0.35">
      <c r="A416">
        <f>'DASE DADOS - DISTANCIA'!A416</f>
        <v>29439</v>
      </c>
      <c r="B416" t="str">
        <f>'DASE DADOS - DISTANCIA'!B416</f>
        <v>JOAO MARCOS CASTRO BASSANESI</v>
      </c>
      <c r="C416" t="str">
        <f>'DASE DADOS - DISTANCIA'!C416</f>
        <v xml:space="preserve"> A2</v>
      </c>
      <c r="D416" t="str">
        <f>'DASE DADOS - DISTANCIA'!E416</f>
        <v>BOM JESUS DO SUL</v>
      </c>
      <c r="E416" t="str">
        <f>'DASE DADOS - DISTANCIA'!I416</f>
        <v>PLUSVAL</v>
      </c>
      <c r="F416" s="7">
        <v>178</v>
      </c>
      <c r="G416">
        <f>'DASE DADOS - DISTANCIA'!J416</f>
        <v>356</v>
      </c>
      <c r="H416" s="2">
        <v>420</v>
      </c>
      <c r="I416" s="2" t="e">
        <f>IF(#REF!&lt;17200,DISTÂNCIA3[[#This Row],[KM PARA PAGAMENTO DOS FRETES]]*4.74,((#REF!/17200)*4.74)*DISTÂNCIA3[[#This Row],[KM PARA PAGAMENTO DOS FRETES]])</f>
        <v>#REF!</v>
      </c>
      <c r="J416" s="4">
        <f>DISTÂNCIA3[[#This Row],[Valor CTE]]/DISTÂNCIA3[[#This Row],[KM PARA PAGAMENTO DOS FRETES]]</f>
        <v>4.9410674157303367</v>
      </c>
      <c r="K416" s="6">
        <f t="shared" si="16"/>
        <v>1009.32</v>
      </c>
      <c r="L416" s="6">
        <f>0.92*DISTÂNCIA3[[#This Row],[KM distancia]]*4.578</f>
        <v>749.69328000000019</v>
      </c>
      <c r="M416" s="6">
        <f t="shared" si="17"/>
        <v>1759.02</v>
      </c>
    </row>
    <row r="417" spans="1:13" hidden="1" x14ac:dyDescent="0.35">
      <c r="A417">
        <f>'DASE DADOS - DISTANCIA'!A417</f>
        <v>5809703</v>
      </c>
      <c r="B417" t="str">
        <f>'DASE DADOS - DISTANCIA'!B417</f>
        <v>JOAO MUNARETTO</v>
      </c>
      <c r="C417" t="str">
        <f>'DASE DADOS - DISTANCIA'!C417</f>
        <v xml:space="preserve"> A1</v>
      </c>
      <c r="D417" t="str">
        <f>'DASE DADOS - DISTANCIA'!E417</f>
        <v>CASCAVEL</v>
      </c>
      <c r="E417" t="str">
        <f>'DASE DADOS - DISTANCIA'!I417</f>
        <v>PLUMA</v>
      </c>
      <c r="F417" s="7">
        <v>13</v>
      </c>
      <c r="G417">
        <f>'DASE DADOS - DISTANCIA'!J417</f>
        <v>26</v>
      </c>
      <c r="H417" s="2">
        <v>420</v>
      </c>
      <c r="I417" s="2" t="e">
        <f>IF(#REF!&lt;17200,DISTÂNCIA3[[#This Row],[KM PARA PAGAMENTO DOS FRETES]]*4.74,((#REF!/17200)*4.74)*DISTÂNCIA3[[#This Row],[KM PARA PAGAMENTO DOS FRETES]])</f>
        <v>#REF!</v>
      </c>
      <c r="J417" s="4">
        <f>DISTÂNCIA3[[#This Row],[Valor CTE]]/DISTÂNCIA3[[#This Row],[KM PARA PAGAMENTO DOS FRETES]]</f>
        <v>11.873461538461537</v>
      </c>
      <c r="K417" s="6">
        <f t="shared" si="16"/>
        <v>253.95</v>
      </c>
      <c r="L417" s="6">
        <f>0.92*DISTÂNCIA3[[#This Row],[KM distancia]]*4.578</f>
        <v>54.752880000000005</v>
      </c>
      <c r="M417" s="6">
        <f t="shared" si="17"/>
        <v>308.70999999999998</v>
      </c>
    </row>
    <row r="418" spans="1:13" hidden="1" x14ac:dyDescent="0.35">
      <c r="A418">
        <f>'DASE DADOS - DISTANCIA'!A418</f>
        <v>5809703</v>
      </c>
      <c r="B418" t="str">
        <f>'DASE DADOS - DISTANCIA'!B418</f>
        <v>JOAO MUNARETTO</v>
      </c>
      <c r="C418" t="str">
        <f>'DASE DADOS - DISTANCIA'!C418</f>
        <v xml:space="preserve"> A2</v>
      </c>
      <c r="D418" t="str">
        <f>'DASE DADOS - DISTANCIA'!E418</f>
        <v>CASCAVEL</v>
      </c>
      <c r="E418" t="str">
        <f>'DASE DADOS - DISTANCIA'!I418</f>
        <v>PLUMA</v>
      </c>
      <c r="F418" s="7">
        <v>13</v>
      </c>
      <c r="G418">
        <f>'DASE DADOS - DISTANCIA'!J418</f>
        <v>26</v>
      </c>
      <c r="H418" s="2">
        <v>420</v>
      </c>
      <c r="I418" s="2" t="e">
        <f>IF(#REF!&lt;17200,DISTÂNCIA3[[#This Row],[KM PARA PAGAMENTO DOS FRETES]]*4.74,((#REF!/17200)*4.74)*DISTÂNCIA3[[#This Row],[KM PARA PAGAMENTO DOS FRETES]])</f>
        <v>#REF!</v>
      </c>
      <c r="J418" s="4">
        <f>DISTÂNCIA3[[#This Row],[Valor CTE]]/DISTÂNCIA3[[#This Row],[KM PARA PAGAMENTO DOS FRETES]]</f>
        <v>11.873461538461537</v>
      </c>
      <c r="K418" s="6">
        <f t="shared" si="16"/>
        <v>253.95</v>
      </c>
      <c r="L418" s="6">
        <f>0.92*DISTÂNCIA3[[#This Row],[KM distancia]]*4.578</f>
        <v>54.752880000000005</v>
      </c>
      <c r="M418" s="6">
        <f t="shared" si="17"/>
        <v>308.70999999999998</v>
      </c>
    </row>
    <row r="419" spans="1:13" hidden="1" x14ac:dyDescent="0.35">
      <c r="A419">
        <f>'DASE DADOS - DISTANCIA'!A419</f>
        <v>0</v>
      </c>
      <c r="B419" t="str">
        <f>'DASE DADOS - DISTANCIA'!B419</f>
        <v>IMOACIR ANTONIO CALDART</v>
      </c>
      <c r="C419" t="str">
        <f>'DASE DADOS - DISTANCIA'!C419</f>
        <v xml:space="preserve"> A1</v>
      </c>
      <c r="D419" t="str">
        <f>'DASE DADOS - DISTANCIA'!E419</f>
        <v>CASCAVEL</v>
      </c>
      <c r="E419" t="str">
        <f>'DASE DADOS - DISTANCIA'!I419</f>
        <v>PLUMA</v>
      </c>
      <c r="F419" s="7">
        <v>24</v>
      </c>
      <c r="G419">
        <f>'DASE DADOS - DISTANCIA'!J419</f>
        <v>48</v>
      </c>
      <c r="H419" s="2">
        <v>420</v>
      </c>
      <c r="I419" s="2" t="e">
        <f>IF(#REF!&lt;17200,DISTÂNCIA3[[#This Row],[KM PARA PAGAMENTO DOS FRETES]]*4.74,((#REF!/17200)*4.74)*DISTÂNCIA3[[#This Row],[KM PARA PAGAMENTO DOS FRETES]])</f>
        <v>#REF!</v>
      </c>
      <c r="J419" s="4">
        <f>DISTÂNCIA3[[#This Row],[Valor CTE]]/DISTÂNCIA3[[#This Row],[KM PARA PAGAMENTO DOS FRETES]]</f>
        <v>8.4456249999999997</v>
      </c>
      <c r="K419" s="6">
        <f t="shared" si="16"/>
        <v>304.31</v>
      </c>
      <c r="L419" s="6">
        <f>0.92*DISTÂNCIA3[[#This Row],[KM distancia]]*4.578</f>
        <v>101.08224000000001</v>
      </c>
      <c r="M419" s="6">
        <f t="shared" si="17"/>
        <v>405.39</v>
      </c>
    </row>
    <row r="420" spans="1:13" hidden="1" x14ac:dyDescent="0.35">
      <c r="A420">
        <f>'DASE DADOS - DISTANCIA'!A420</f>
        <v>0</v>
      </c>
      <c r="B420" t="str">
        <f>'DASE DADOS - DISTANCIA'!B420</f>
        <v>IMOACIR ANTONIO CALDART</v>
      </c>
      <c r="C420" t="str">
        <f>'DASE DADOS - DISTANCIA'!C420</f>
        <v xml:space="preserve"> A2</v>
      </c>
      <c r="D420" t="str">
        <f>'DASE DADOS - DISTANCIA'!E420</f>
        <v>CASCAVEL</v>
      </c>
      <c r="E420" t="str">
        <f>'DASE DADOS - DISTANCIA'!I420</f>
        <v>PLUMA</v>
      </c>
      <c r="F420" s="7">
        <v>24</v>
      </c>
      <c r="G420">
        <f>'DASE DADOS - DISTANCIA'!J420</f>
        <v>48</v>
      </c>
      <c r="H420" s="2">
        <v>420</v>
      </c>
      <c r="I420" s="2" t="e">
        <f>IF(#REF!&lt;17200,DISTÂNCIA3[[#This Row],[KM PARA PAGAMENTO DOS FRETES]]*4.74,((#REF!/17200)*4.74)*DISTÂNCIA3[[#This Row],[KM PARA PAGAMENTO DOS FRETES]])</f>
        <v>#REF!</v>
      </c>
      <c r="J420" s="4">
        <f>DISTÂNCIA3[[#This Row],[Valor CTE]]/DISTÂNCIA3[[#This Row],[KM PARA PAGAMENTO DOS FRETES]]</f>
        <v>8.4456249999999997</v>
      </c>
      <c r="K420" s="6">
        <f t="shared" si="16"/>
        <v>304.31</v>
      </c>
      <c r="L420" s="6">
        <f>0.92*DISTÂNCIA3[[#This Row],[KM distancia]]*4.578</f>
        <v>101.08224000000001</v>
      </c>
      <c r="M420" s="6">
        <f t="shared" si="17"/>
        <v>405.39</v>
      </c>
    </row>
    <row r="421" spans="1:13" hidden="1" x14ac:dyDescent="0.35">
      <c r="A421">
        <f>'DASE DADOS - DISTANCIA'!A421</f>
        <v>4224604</v>
      </c>
      <c r="B421" t="str">
        <f>'DASE DADOS - DISTANCIA'!B421</f>
        <v>JORGE OSMAR SCHMIDT</v>
      </c>
      <c r="C421" t="str">
        <f>'DASE DADOS - DISTANCIA'!C421</f>
        <v xml:space="preserve"> A1</v>
      </c>
      <c r="D421" t="str">
        <f>'DASE DADOS - DISTANCIA'!E421</f>
        <v>TOLEDO</v>
      </c>
      <c r="E421" t="str">
        <f>'DASE DADOS - DISTANCIA'!I421</f>
        <v>PLUMA</v>
      </c>
      <c r="F421" s="7">
        <v>49</v>
      </c>
      <c r="G421">
        <f>'DASE DADOS - DISTANCIA'!J421</f>
        <v>98</v>
      </c>
      <c r="H421" s="2">
        <v>420</v>
      </c>
      <c r="I421" s="2" t="e">
        <f>IF(#REF!&lt;17200,DISTÂNCIA3[[#This Row],[KM PARA PAGAMENTO DOS FRETES]]*4.74,((#REF!/17200)*4.74)*DISTÂNCIA3[[#This Row],[KM PARA PAGAMENTO DOS FRETES]])</f>
        <v>#REF!</v>
      </c>
      <c r="J421" s="4">
        <f>DISTÂNCIA3[[#This Row],[Valor CTE]]/DISTÂNCIA3[[#This Row],[KM PARA PAGAMENTO DOS FRETES]]</f>
        <v>6.3789795918367345</v>
      </c>
      <c r="K421" s="6">
        <f t="shared" si="16"/>
        <v>418.76</v>
      </c>
      <c r="L421" s="6">
        <f>0.92*DISTÂNCIA3[[#This Row],[KM distancia]]*4.578</f>
        <v>206.37624000000002</v>
      </c>
      <c r="M421" s="6">
        <f t="shared" si="17"/>
        <v>625.14</v>
      </c>
    </row>
    <row r="422" spans="1:13" hidden="1" x14ac:dyDescent="0.35">
      <c r="A422">
        <f>'DASE DADOS - DISTANCIA'!A422</f>
        <v>4224604</v>
      </c>
      <c r="B422" t="str">
        <f>'DASE DADOS - DISTANCIA'!B422</f>
        <v>JORGE OSMAR SCHMIDT</v>
      </c>
      <c r="C422" t="str">
        <f>'DASE DADOS - DISTANCIA'!C422</f>
        <v xml:space="preserve"> A2</v>
      </c>
      <c r="D422" t="str">
        <f>'DASE DADOS - DISTANCIA'!E422</f>
        <v>TOLEDO</v>
      </c>
      <c r="E422" t="str">
        <f>'DASE DADOS - DISTANCIA'!I422</f>
        <v>PLUMA</v>
      </c>
      <c r="F422" s="7">
        <v>49</v>
      </c>
      <c r="G422">
        <f>'DASE DADOS - DISTANCIA'!J422</f>
        <v>98</v>
      </c>
      <c r="H422" s="2">
        <v>420</v>
      </c>
      <c r="I422" s="2" t="e">
        <f>IF(#REF!&lt;17200,DISTÂNCIA3[[#This Row],[KM PARA PAGAMENTO DOS FRETES]]*4.74,((#REF!/17200)*4.74)*DISTÂNCIA3[[#This Row],[KM PARA PAGAMENTO DOS FRETES]])</f>
        <v>#REF!</v>
      </c>
      <c r="J422" s="4">
        <f>DISTÂNCIA3[[#This Row],[Valor CTE]]/DISTÂNCIA3[[#This Row],[KM PARA PAGAMENTO DOS FRETES]]</f>
        <v>6.3789795918367345</v>
      </c>
      <c r="K422" s="6">
        <f t="shared" si="16"/>
        <v>418.76</v>
      </c>
      <c r="L422" s="6">
        <f>0.92*DISTÂNCIA3[[#This Row],[KM distancia]]*4.578</f>
        <v>206.37624000000002</v>
      </c>
      <c r="M422" s="6">
        <f t="shared" si="17"/>
        <v>625.14</v>
      </c>
    </row>
    <row r="423" spans="1:13" hidden="1" x14ac:dyDescent="0.35">
      <c r="A423">
        <f>'DASE DADOS - DISTANCIA'!A423</f>
        <v>4224604</v>
      </c>
      <c r="B423" t="str">
        <f>'DASE DADOS - DISTANCIA'!B423</f>
        <v>JORGE OSMAR SCHMIDT</v>
      </c>
      <c r="C423" t="str">
        <f>'DASE DADOS - DISTANCIA'!C423</f>
        <v xml:space="preserve"> A3</v>
      </c>
      <c r="D423" t="str">
        <f>'DASE DADOS - DISTANCIA'!E423</f>
        <v>TOLEDO</v>
      </c>
      <c r="E423" t="str">
        <f>'DASE DADOS - DISTANCIA'!I423</f>
        <v>PLUMA</v>
      </c>
      <c r="F423" s="7">
        <v>49</v>
      </c>
      <c r="G423">
        <f>'DASE DADOS - DISTANCIA'!J423</f>
        <v>98</v>
      </c>
      <c r="H423" s="2">
        <v>420</v>
      </c>
      <c r="I423" s="2" t="e">
        <f>IF(#REF!&lt;17200,DISTÂNCIA3[[#This Row],[KM PARA PAGAMENTO DOS FRETES]]*4.74,((#REF!/17200)*4.74)*DISTÂNCIA3[[#This Row],[KM PARA PAGAMENTO DOS FRETES]])</f>
        <v>#REF!</v>
      </c>
      <c r="J423" s="4">
        <f>DISTÂNCIA3[[#This Row],[Valor CTE]]/DISTÂNCIA3[[#This Row],[KM PARA PAGAMENTO DOS FRETES]]</f>
        <v>6.3789795918367345</v>
      </c>
      <c r="K423" s="6">
        <f t="shared" si="16"/>
        <v>418.76</v>
      </c>
      <c r="L423" s="6">
        <f>0.92*DISTÂNCIA3[[#This Row],[KM distancia]]*4.578</f>
        <v>206.37624000000002</v>
      </c>
      <c r="M423" s="6">
        <f t="shared" si="17"/>
        <v>625.14</v>
      </c>
    </row>
    <row r="424" spans="1:13" hidden="1" x14ac:dyDescent="0.35">
      <c r="A424">
        <f>'DASE DADOS - DISTANCIA'!A424</f>
        <v>4224604</v>
      </c>
      <c r="B424" t="str">
        <f>'DASE DADOS - DISTANCIA'!B424</f>
        <v>JORGE OSMAR SCHMIDT</v>
      </c>
      <c r="C424" t="str">
        <f>'DASE DADOS - DISTANCIA'!C424</f>
        <v xml:space="preserve"> A4</v>
      </c>
      <c r="D424" t="str">
        <f>'DASE DADOS - DISTANCIA'!E424</f>
        <v>TOLEDO</v>
      </c>
      <c r="E424" t="str">
        <f>'DASE DADOS - DISTANCIA'!I424</f>
        <v>PLUMA</v>
      </c>
      <c r="F424" s="7">
        <v>49</v>
      </c>
      <c r="G424">
        <f>'DASE DADOS - DISTANCIA'!J424</f>
        <v>98</v>
      </c>
      <c r="H424" s="2">
        <v>420</v>
      </c>
      <c r="I424" s="2" t="e">
        <f>IF(#REF!&lt;17200,DISTÂNCIA3[[#This Row],[KM PARA PAGAMENTO DOS FRETES]]*4.74,((#REF!/17200)*4.74)*DISTÂNCIA3[[#This Row],[KM PARA PAGAMENTO DOS FRETES]])</f>
        <v>#REF!</v>
      </c>
      <c r="J424" s="4">
        <f>DISTÂNCIA3[[#This Row],[Valor CTE]]/DISTÂNCIA3[[#This Row],[KM PARA PAGAMENTO DOS FRETES]]</f>
        <v>6.3789795918367345</v>
      </c>
      <c r="K424" s="6">
        <f t="shared" si="16"/>
        <v>418.76</v>
      </c>
      <c r="L424" s="6">
        <f>0.92*DISTÂNCIA3[[#This Row],[KM distancia]]*4.578</f>
        <v>206.37624000000002</v>
      </c>
      <c r="M424" s="6">
        <f t="shared" si="17"/>
        <v>625.14</v>
      </c>
    </row>
    <row r="425" spans="1:13" hidden="1" x14ac:dyDescent="0.35">
      <c r="A425">
        <f>'DASE DADOS - DISTANCIA'!A425</f>
        <v>29902</v>
      </c>
      <c r="B425" t="str">
        <f>'DASE DADOS - DISTANCIA'!B425</f>
        <v>JOSE MACHADO</v>
      </c>
      <c r="C425" t="str">
        <f>'DASE DADOS - DISTANCIA'!C425</f>
        <v xml:space="preserve"> A1</v>
      </c>
      <c r="D425" t="str">
        <f>'DASE DADOS - DISTANCIA'!E425</f>
        <v>TRÊS BARRAS DO PARANÁ</v>
      </c>
      <c r="E425" t="str">
        <f>'DASE DADOS - DISTANCIA'!I425</f>
        <v>PLUSVAL</v>
      </c>
      <c r="F425" s="7">
        <v>98</v>
      </c>
      <c r="G425">
        <f>'DASE DADOS - DISTANCIA'!J425</f>
        <v>196</v>
      </c>
      <c r="H425" s="2">
        <v>420</v>
      </c>
      <c r="I425" s="2" t="e">
        <f>IF(#REF!&lt;17200,DISTÂNCIA3[[#This Row],[KM PARA PAGAMENTO DOS FRETES]]*4.74,((#REF!/17200)*4.74)*DISTÂNCIA3[[#This Row],[KM PARA PAGAMENTO DOS FRETES]])</f>
        <v>#REF!</v>
      </c>
      <c r="J425" s="4">
        <f>DISTÂNCIA3[[#This Row],[Valor CTE]]/DISTÂNCIA3[[#This Row],[KM PARA PAGAMENTO DOS FRETES]]</f>
        <v>5.3869387755102034</v>
      </c>
      <c r="K425" s="6">
        <f t="shared" si="16"/>
        <v>643.08000000000004</v>
      </c>
      <c r="L425" s="6">
        <f>0.92*DISTÂNCIA3[[#This Row],[KM distancia]]*4.578</f>
        <v>412.75248000000005</v>
      </c>
      <c r="M425" s="6">
        <f t="shared" si="17"/>
        <v>1055.8399999999999</v>
      </c>
    </row>
    <row r="426" spans="1:13" hidden="1" x14ac:dyDescent="0.35">
      <c r="A426">
        <f>'DASE DADOS - DISTANCIA'!A426</f>
        <v>29891</v>
      </c>
      <c r="B426" t="str">
        <f>'DASE DADOS - DISTANCIA'!B426</f>
        <v>JOSE NEI ROCHENBACH</v>
      </c>
      <c r="C426" t="str">
        <f>'DASE DADOS - DISTANCIA'!C426</f>
        <v xml:space="preserve"> A1</v>
      </c>
      <c r="D426" t="str">
        <f>'DASE DADOS - DISTANCIA'!E426</f>
        <v>CAPITÃO LEÔNIDAS MARQUES</v>
      </c>
      <c r="E426" t="str">
        <f>'DASE DADOS - DISTANCIA'!I426</f>
        <v>PLUSVAL</v>
      </c>
      <c r="F426" s="7">
        <v>64.5</v>
      </c>
      <c r="G426">
        <f>'DASE DADOS - DISTANCIA'!J426</f>
        <v>129</v>
      </c>
      <c r="H426" s="2">
        <v>420</v>
      </c>
      <c r="I426" s="2" t="e">
        <f>IF(#REF!&lt;17200,DISTÂNCIA3[[#This Row],[KM PARA PAGAMENTO DOS FRETES]]*4.74,((#REF!/17200)*4.74)*DISTÂNCIA3[[#This Row],[KM PARA PAGAMENTO DOS FRETES]])</f>
        <v>#REF!</v>
      </c>
      <c r="J426" s="4">
        <f>DISTÂNCIA3[[#This Row],[Valor CTE]]/DISTÂNCIA3[[#This Row],[KM PARA PAGAMENTO DOS FRETES]]</f>
        <v>5.902170542635659</v>
      </c>
      <c r="K426" s="6">
        <f t="shared" si="16"/>
        <v>489.72</v>
      </c>
      <c r="L426" s="6">
        <f>0.92*DISTÂNCIA3[[#This Row],[KM distancia]]*4.578</f>
        <v>271.65852000000001</v>
      </c>
      <c r="M426" s="6">
        <f t="shared" si="17"/>
        <v>761.38</v>
      </c>
    </row>
    <row r="427" spans="1:13" hidden="1" x14ac:dyDescent="0.35">
      <c r="A427">
        <f>'DASE DADOS - DISTANCIA'!A427</f>
        <v>5369800</v>
      </c>
      <c r="B427" t="str">
        <f>'DASE DADOS - DISTANCIA'!B427</f>
        <v>KASSIANO RODRIGO DREY</v>
      </c>
      <c r="C427" t="str">
        <f>'DASE DADOS - DISTANCIA'!C427</f>
        <v xml:space="preserve"> A1</v>
      </c>
      <c r="D427" t="str">
        <f>'DASE DADOS - DISTANCIA'!E427</f>
        <v>CORBELIA</v>
      </c>
      <c r="E427" t="str">
        <f>'DASE DADOS - DISTANCIA'!I427</f>
        <v>PLUMA</v>
      </c>
      <c r="F427" s="7">
        <v>38</v>
      </c>
      <c r="G427">
        <f>'DASE DADOS - DISTANCIA'!J427</f>
        <v>76</v>
      </c>
      <c r="H427" s="2">
        <v>420</v>
      </c>
      <c r="I427" s="2" t="e">
        <f>IF(#REF!&lt;17200,DISTÂNCIA3[[#This Row],[KM PARA PAGAMENTO DOS FRETES]]*4.74,((#REF!/17200)*4.74)*DISTÂNCIA3[[#This Row],[KM PARA PAGAMENTO DOS FRETES]])</f>
        <v>#REF!</v>
      </c>
      <c r="J427" s="4">
        <f>DISTÂNCIA3[[#This Row],[Valor CTE]]/DISTÂNCIA3[[#This Row],[KM PARA PAGAMENTO DOS FRETES]]</f>
        <v>6.9532894736842108</v>
      </c>
      <c r="K427" s="6">
        <f t="shared" si="16"/>
        <v>368.4</v>
      </c>
      <c r="L427" s="6">
        <f>0.92*DISTÂNCIA3[[#This Row],[KM distancia]]*4.578</f>
        <v>160.04688000000002</v>
      </c>
      <c r="M427" s="6">
        <f t="shared" si="17"/>
        <v>528.45000000000005</v>
      </c>
    </row>
    <row r="428" spans="1:13" hidden="1" x14ac:dyDescent="0.35">
      <c r="A428">
        <f>'DASE DADOS - DISTANCIA'!A428</f>
        <v>6211631</v>
      </c>
      <c r="B428" t="str">
        <f>'DASE DADOS - DISTANCIA'!B428</f>
        <v>LAUDELINO CONRAT</v>
      </c>
      <c r="C428" t="str">
        <f>'DASE DADOS - DISTANCIA'!C428</f>
        <v xml:space="preserve"> A1</v>
      </c>
      <c r="D428" t="str">
        <f>'DASE DADOS - DISTANCIA'!E428</f>
        <v>TOLEDO</v>
      </c>
      <c r="E428" t="str">
        <f>'DASE DADOS - DISTANCIA'!I428</f>
        <v>PLUMA</v>
      </c>
      <c r="F428" s="7">
        <v>70</v>
      </c>
      <c r="G428">
        <f>'DASE DADOS - DISTANCIA'!J428</f>
        <v>140</v>
      </c>
      <c r="H428" s="2">
        <v>420</v>
      </c>
      <c r="I428" s="2" t="e">
        <f>IF(#REF!&lt;17200,DISTÂNCIA3[[#This Row],[KM PARA PAGAMENTO DOS FRETES]]*4.74,((#REF!/17200)*4.74)*DISTÂNCIA3[[#This Row],[KM PARA PAGAMENTO DOS FRETES]])</f>
        <v>#REF!</v>
      </c>
      <c r="J428" s="4">
        <f>DISTÂNCIA3[[#This Row],[Valor CTE]]/DISTÂNCIA3[[#This Row],[KM PARA PAGAMENTO DOS FRETES]]</f>
        <v>5.7837142857142858</v>
      </c>
      <c r="K428" s="6">
        <f t="shared" si="16"/>
        <v>514.9</v>
      </c>
      <c r="L428" s="6">
        <f>0.92*DISTÂNCIA3[[#This Row],[KM distancia]]*4.578</f>
        <v>294.82320000000004</v>
      </c>
      <c r="M428" s="6">
        <f t="shared" si="17"/>
        <v>809.72</v>
      </c>
    </row>
    <row r="429" spans="1:13" hidden="1" x14ac:dyDescent="0.35">
      <c r="A429">
        <f>'DASE DADOS - DISTANCIA'!A429</f>
        <v>6211631</v>
      </c>
      <c r="B429" t="str">
        <f>'DASE DADOS - DISTANCIA'!B429</f>
        <v>LAUDELINO CONRAT</v>
      </c>
      <c r="C429" t="str">
        <f>'DASE DADOS - DISTANCIA'!C429</f>
        <v xml:space="preserve"> A4</v>
      </c>
      <c r="D429" t="str">
        <f>'DASE DADOS - DISTANCIA'!E429</f>
        <v>TOLEDO</v>
      </c>
      <c r="E429" t="str">
        <f>'DASE DADOS - DISTANCIA'!I429</f>
        <v>PLUMA</v>
      </c>
      <c r="F429" s="7">
        <v>70</v>
      </c>
      <c r="G429">
        <f>'DASE DADOS - DISTANCIA'!J429</f>
        <v>140</v>
      </c>
      <c r="H429" s="2">
        <v>420</v>
      </c>
      <c r="I429" s="2" t="e">
        <f>IF(#REF!&lt;17200,DISTÂNCIA3[[#This Row],[KM PARA PAGAMENTO DOS FRETES]]*4.74,((#REF!/17200)*4.74)*DISTÂNCIA3[[#This Row],[KM PARA PAGAMENTO DOS FRETES]])</f>
        <v>#REF!</v>
      </c>
      <c r="J429" s="4">
        <f>DISTÂNCIA3[[#This Row],[Valor CTE]]/DISTÂNCIA3[[#This Row],[KM PARA PAGAMENTO DOS FRETES]]</f>
        <v>5.7837142857142858</v>
      </c>
      <c r="K429" s="6">
        <f t="shared" si="16"/>
        <v>514.9</v>
      </c>
      <c r="L429" s="6">
        <f>0.92*DISTÂNCIA3[[#This Row],[KM distancia]]*4.578</f>
        <v>294.82320000000004</v>
      </c>
      <c r="M429" s="6">
        <f t="shared" si="17"/>
        <v>809.72</v>
      </c>
    </row>
    <row r="430" spans="1:13" hidden="1" x14ac:dyDescent="0.35">
      <c r="A430">
        <f>'DASE DADOS - DISTANCIA'!A430</f>
        <v>6211631</v>
      </c>
      <c r="B430" t="str">
        <f>'DASE DADOS - DISTANCIA'!B430</f>
        <v>LAUDELINO CONRAT</v>
      </c>
      <c r="C430" t="str">
        <f>'DASE DADOS - DISTANCIA'!C430</f>
        <v xml:space="preserve"> A3</v>
      </c>
      <c r="D430" t="str">
        <f>'DASE DADOS - DISTANCIA'!E430</f>
        <v>TOLEDO</v>
      </c>
      <c r="E430" t="str">
        <f>'DASE DADOS - DISTANCIA'!I430</f>
        <v>PLUMA</v>
      </c>
      <c r="F430" s="7">
        <v>70</v>
      </c>
      <c r="G430">
        <f>'DASE DADOS - DISTANCIA'!J430</f>
        <v>140</v>
      </c>
      <c r="H430" s="2">
        <v>420</v>
      </c>
      <c r="I430" s="2" t="e">
        <f>IF(#REF!&lt;17200,DISTÂNCIA3[[#This Row],[KM PARA PAGAMENTO DOS FRETES]]*4.74,((#REF!/17200)*4.74)*DISTÂNCIA3[[#This Row],[KM PARA PAGAMENTO DOS FRETES]])</f>
        <v>#REF!</v>
      </c>
      <c r="J430" s="4">
        <f>DISTÂNCIA3[[#This Row],[Valor CTE]]/DISTÂNCIA3[[#This Row],[KM PARA PAGAMENTO DOS FRETES]]</f>
        <v>5.7837142857142858</v>
      </c>
      <c r="K430" s="6">
        <f t="shared" si="16"/>
        <v>514.9</v>
      </c>
      <c r="L430" s="6">
        <f>0.92*DISTÂNCIA3[[#This Row],[KM distancia]]*4.578</f>
        <v>294.82320000000004</v>
      </c>
      <c r="M430" s="6">
        <f t="shared" si="17"/>
        <v>809.72</v>
      </c>
    </row>
    <row r="431" spans="1:13" hidden="1" x14ac:dyDescent="0.35">
      <c r="A431">
        <f>'DASE DADOS - DISTANCIA'!A431</f>
        <v>6211631</v>
      </c>
      <c r="B431" t="str">
        <f>'DASE DADOS - DISTANCIA'!B431</f>
        <v>LAUDELINO CONRAT</v>
      </c>
      <c r="C431" t="str">
        <f>'DASE DADOS - DISTANCIA'!C431</f>
        <v xml:space="preserve"> A2</v>
      </c>
      <c r="D431" t="str">
        <f>'DASE DADOS - DISTANCIA'!E431</f>
        <v>TOLEDO</v>
      </c>
      <c r="E431" t="str">
        <f>'DASE DADOS - DISTANCIA'!I431</f>
        <v>PLUMA</v>
      </c>
      <c r="F431" s="7">
        <v>70</v>
      </c>
      <c r="G431">
        <f>'DASE DADOS - DISTANCIA'!J431</f>
        <v>140</v>
      </c>
      <c r="H431" s="2">
        <v>420</v>
      </c>
      <c r="I431" s="2" t="e">
        <f>IF(#REF!&lt;17200,DISTÂNCIA3[[#This Row],[KM PARA PAGAMENTO DOS FRETES]]*4.74,((#REF!/17200)*4.74)*DISTÂNCIA3[[#This Row],[KM PARA PAGAMENTO DOS FRETES]])</f>
        <v>#REF!</v>
      </c>
      <c r="J431" s="4">
        <f>DISTÂNCIA3[[#This Row],[Valor CTE]]/DISTÂNCIA3[[#This Row],[KM PARA PAGAMENTO DOS FRETES]]</f>
        <v>5.7837142857142858</v>
      </c>
      <c r="K431" s="6">
        <f t="shared" si="16"/>
        <v>514.9</v>
      </c>
      <c r="L431" s="6">
        <f>0.92*DISTÂNCIA3[[#This Row],[KM distancia]]*4.578</f>
        <v>294.82320000000004</v>
      </c>
      <c r="M431" s="6">
        <f t="shared" si="17"/>
        <v>809.72</v>
      </c>
    </row>
    <row r="432" spans="1:13" hidden="1" x14ac:dyDescent="0.35">
      <c r="A432">
        <f>'DASE DADOS - DISTANCIA'!A432</f>
        <v>3641368</v>
      </c>
      <c r="B432" t="str">
        <f>'DASE DADOS - DISTANCIA'!B432</f>
        <v>LAURI HELIO JUSTEN</v>
      </c>
      <c r="C432" t="str">
        <f>'DASE DADOS - DISTANCIA'!C432</f>
        <v xml:space="preserve"> A2</v>
      </c>
      <c r="D432" t="str">
        <f>'DASE DADOS - DISTANCIA'!E432</f>
        <v>TOLEDO</v>
      </c>
      <c r="E432" t="str">
        <f>'DASE DADOS - DISTANCIA'!I432</f>
        <v>PLUMA</v>
      </c>
      <c r="F432" s="7">
        <v>62</v>
      </c>
      <c r="G432">
        <f>'DASE DADOS - DISTANCIA'!J432</f>
        <v>124</v>
      </c>
      <c r="H432" s="2">
        <v>420</v>
      </c>
      <c r="I432" s="2" t="e">
        <f>IF(#REF!&lt;17200,DISTÂNCIA3[[#This Row],[KM PARA PAGAMENTO DOS FRETES]]*4.74,((#REF!/17200)*4.74)*DISTÂNCIA3[[#This Row],[KM PARA PAGAMENTO DOS FRETES]])</f>
        <v>#REF!</v>
      </c>
      <c r="J432" s="4">
        <f>DISTÂNCIA3[[#This Row],[Valor CTE]]/DISTÂNCIA3[[#This Row],[KM PARA PAGAMENTO DOS FRETES]]</f>
        <v>5.9629838709677419</v>
      </c>
      <c r="K432" s="6">
        <f t="shared" si="16"/>
        <v>478.28</v>
      </c>
      <c r="L432" s="6">
        <f>0.92*DISTÂNCIA3[[#This Row],[KM distancia]]*4.578</f>
        <v>261.12912</v>
      </c>
      <c r="M432" s="6">
        <f t="shared" si="17"/>
        <v>739.41</v>
      </c>
    </row>
    <row r="433" spans="1:13" hidden="1" x14ac:dyDescent="0.35">
      <c r="A433">
        <f>'DASE DADOS - DISTANCIA'!A433</f>
        <v>3641368</v>
      </c>
      <c r="B433" t="str">
        <f>'DASE DADOS - DISTANCIA'!B433</f>
        <v>LAURI HELIO JUSTEN</v>
      </c>
      <c r="C433" t="str">
        <f>'DASE DADOS - DISTANCIA'!C433</f>
        <v xml:space="preserve"> A1</v>
      </c>
      <c r="D433" t="str">
        <f>'DASE DADOS - DISTANCIA'!E433</f>
        <v>TOLEDO</v>
      </c>
      <c r="E433" t="str">
        <f>'DASE DADOS - DISTANCIA'!I433</f>
        <v>PLUMA</v>
      </c>
      <c r="F433" s="7">
        <v>62</v>
      </c>
      <c r="G433">
        <f>'DASE DADOS - DISTANCIA'!J433</f>
        <v>124</v>
      </c>
      <c r="H433" s="2">
        <v>420</v>
      </c>
      <c r="I433" s="2" t="e">
        <f>IF(#REF!&lt;17200,DISTÂNCIA3[[#This Row],[KM PARA PAGAMENTO DOS FRETES]]*4.74,((#REF!/17200)*4.74)*DISTÂNCIA3[[#This Row],[KM PARA PAGAMENTO DOS FRETES]])</f>
        <v>#REF!</v>
      </c>
      <c r="J433" s="4">
        <f>DISTÂNCIA3[[#This Row],[Valor CTE]]/DISTÂNCIA3[[#This Row],[KM PARA PAGAMENTO DOS FRETES]]</f>
        <v>5.9629838709677419</v>
      </c>
      <c r="K433" s="6">
        <f t="shared" si="16"/>
        <v>478.28</v>
      </c>
      <c r="L433" s="6">
        <f>0.92*DISTÂNCIA3[[#This Row],[KM distancia]]*4.578</f>
        <v>261.12912</v>
      </c>
      <c r="M433" s="6">
        <f t="shared" si="17"/>
        <v>739.41</v>
      </c>
    </row>
    <row r="434" spans="1:13" hidden="1" x14ac:dyDescent="0.35">
      <c r="A434">
        <f>'DASE DADOS - DISTANCIA'!A434</f>
        <v>6455646</v>
      </c>
      <c r="B434" t="str">
        <f>'DASE DADOS - DISTANCIA'!B434</f>
        <v>EDSON OWSIANY</v>
      </c>
      <c r="C434" t="str">
        <f>'DASE DADOS - DISTANCIA'!C434</f>
        <v>A1</v>
      </c>
      <c r="D434" t="str">
        <f>'DASE DADOS - DISTANCIA'!E434</f>
        <v>CASCAVEL</v>
      </c>
      <c r="E434" t="str">
        <f>'DASE DADOS - DISTANCIA'!I434</f>
        <v>PLUMA</v>
      </c>
      <c r="F434" s="7">
        <v>32.5</v>
      </c>
      <c r="G434">
        <f>'DASE DADOS - DISTANCIA'!J434</f>
        <v>65</v>
      </c>
      <c r="H434" s="2">
        <v>420</v>
      </c>
      <c r="I434" s="2" t="e">
        <f>IF(#REF!&lt;17200,DISTÂNCIA3[[#This Row],[KM PARA PAGAMENTO DOS FRETES]]*4.74,((#REF!/17200)*4.74)*DISTÂNCIA3[[#This Row],[KM PARA PAGAMENTO DOS FRETES]])</f>
        <v>#REF!</v>
      </c>
      <c r="J434" s="4">
        <f>DISTÂNCIA3[[#This Row],[Valor CTE]]/DISTÂNCIA3[[#This Row],[KM PARA PAGAMENTO DOS FRETES]]</f>
        <v>7.3863076923076925</v>
      </c>
      <c r="K434" s="6">
        <f t="shared" si="16"/>
        <v>343.23</v>
      </c>
      <c r="L434" s="6">
        <f>0.92*DISTÂNCIA3[[#This Row],[KM distancia]]*4.578</f>
        <v>136.88220000000001</v>
      </c>
      <c r="M434" s="6">
        <f t="shared" si="17"/>
        <v>480.11</v>
      </c>
    </row>
    <row r="435" spans="1:13" hidden="1" x14ac:dyDescent="0.35">
      <c r="A435">
        <f>'DASE DADOS - DISTANCIA'!A435</f>
        <v>0</v>
      </c>
      <c r="B435" t="str">
        <f>'DASE DADOS - DISTANCIA'!B435</f>
        <v>JOAO ISRAIEL CARNAVAL</v>
      </c>
      <c r="C435" t="str">
        <f>'DASE DADOS - DISTANCIA'!C435</f>
        <v xml:space="preserve"> A2</v>
      </c>
      <c r="D435" t="str">
        <f>'DASE DADOS - DISTANCIA'!E435</f>
        <v>CASCAVEL</v>
      </c>
      <c r="E435" t="str">
        <f>'DASE DADOS - DISTANCIA'!I435</f>
        <v>PLUMA</v>
      </c>
      <c r="F435" s="7">
        <v>36.5</v>
      </c>
      <c r="G435">
        <f>'DASE DADOS - DISTANCIA'!J435</f>
        <v>73</v>
      </c>
      <c r="H435" s="2">
        <v>420</v>
      </c>
      <c r="I435" s="2" t="e">
        <f>IF(#REF!&lt;17200,DISTÂNCIA3[[#This Row],[KM PARA PAGAMENTO DOS FRETES]]*4.74,((#REF!/17200)*4.74)*DISTÂNCIA3[[#This Row],[KM PARA PAGAMENTO DOS FRETES]])</f>
        <v>#REF!</v>
      </c>
      <c r="J435" s="4">
        <f>DISTÂNCIA3[[#This Row],[Valor CTE]]/DISTÂNCIA3[[#This Row],[KM PARA PAGAMENTO DOS FRETES]]</f>
        <v>7.0584931506849315</v>
      </c>
      <c r="K435" s="6">
        <f t="shared" si="16"/>
        <v>361.54</v>
      </c>
      <c r="L435" s="6">
        <f>0.92*DISTÂNCIA3[[#This Row],[KM distancia]]*4.578</f>
        <v>153.72924</v>
      </c>
      <c r="M435" s="6">
        <f t="shared" si="17"/>
        <v>515.27</v>
      </c>
    </row>
    <row r="436" spans="1:13" hidden="1" x14ac:dyDescent="0.35">
      <c r="A436">
        <f>'DASE DADOS - DISTANCIA'!A436</f>
        <v>0</v>
      </c>
      <c r="B436" t="str">
        <f>'DASE DADOS - DISTANCIA'!B436</f>
        <v>JOAO ISRAIEL CARNAVAL</v>
      </c>
      <c r="C436" t="str">
        <f>'DASE DADOS - DISTANCIA'!C436</f>
        <v xml:space="preserve"> A1</v>
      </c>
      <c r="D436" t="str">
        <f>'DASE DADOS - DISTANCIA'!E436</f>
        <v>CASCAVEL</v>
      </c>
      <c r="E436" t="str">
        <f>'DASE DADOS - DISTANCIA'!I436</f>
        <v>PLUMA</v>
      </c>
      <c r="F436" s="7">
        <v>36.5</v>
      </c>
      <c r="G436">
        <f>'DASE DADOS - DISTANCIA'!J436</f>
        <v>73</v>
      </c>
      <c r="H436" s="2">
        <v>420</v>
      </c>
      <c r="I436" s="2" t="e">
        <f>IF(#REF!&lt;17200,DISTÂNCIA3[[#This Row],[KM PARA PAGAMENTO DOS FRETES]]*4.74,((#REF!/17200)*4.74)*DISTÂNCIA3[[#This Row],[KM PARA PAGAMENTO DOS FRETES]])</f>
        <v>#REF!</v>
      </c>
      <c r="J436" s="4">
        <f>DISTÂNCIA3[[#This Row],[Valor CTE]]/DISTÂNCIA3[[#This Row],[KM PARA PAGAMENTO DOS FRETES]]</f>
        <v>7.0584931506849315</v>
      </c>
      <c r="K436" s="6">
        <f t="shared" si="16"/>
        <v>361.54</v>
      </c>
      <c r="L436" s="6">
        <f>0.92*DISTÂNCIA3[[#This Row],[KM distancia]]*4.578</f>
        <v>153.72924</v>
      </c>
      <c r="M436" s="6">
        <f t="shared" si="17"/>
        <v>515.27</v>
      </c>
    </row>
    <row r="437" spans="1:13" hidden="1" x14ac:dyDescent="0.35">
      <c r="A437">
        <f>'DASE DADOS - DISTANCIA'!A437</f>
        <v>0</v>
      </c>
      <c r="B437" t="str">
        <f>'DASE DADOS - DISTANCIA'!B437</f>
        <v>JOAO JADIR VIEIRA DO PRADO</v>
      </c>
      <c r="C437" t="str">
        <f>'DASE DADOS - DISTANCIA'!C437</f>
        <v xml:space="preserve"> A1</v>
      </c>
      <c r="D437" t="str">
        <f>'DASE DADOS - DISTANCIA'!E437</f>
        <v>CASCAVEL</v>
      </c>
      <c r="E437" t="str">
        <f>'DASE DADOS - DISTANCIA'!I437</f>
        <v>PLUMA</v>
      </c>
      <c r="F437" s="7">
        <v>31.5</v>
      </c>
      <c r="G437">
        <f>'DASE DADOS - DISTANCIA'!J437</f>
        <v>63</v>
      </c>
      <c r="H437" s="2">
        <v>420</v>
      </c>
      <c r="I437" s="2" t="e">
        <f>IF(#REF!&lt;17200,DISTÂNCIA3[[#This Row],[KM PARA PAGAMENTO DOS FRETES]]*4.74,((#REF!/17200)*4.74)*DISTÂNCIA3[[#This Row],[KM PARA PAGAMENTO DOS FRETES]])</f>
        <v>#REF!</v>
      </c>
      <c r="J437" s="4">
        <f>DISTÂNCIA3[[#This Row],[Valor CTE]]/DISTÂNCIA3[[#This Row],[KM PARA PAGAMENTO DOS FRETES]]</f>
        <v>7.4812698412698415</v>
      </c>
      <c r="K437" s="6">
        <f t="shared" si="16"/>
        <v>338.65</v>
      </c>
      <c r="L437" s="6">
        <f>0.92*DISTÂNCIA3[[#This Row],[KM distancia]]*4.578</f>
        <v>132.67044000000001</v>
      </c>
      <c r="M437" s="6">
        <f t="shared" si="17"/>
        <v>471.32</v>
      </c>
    </row>
    <row r="438" spans="1:13" hidden="1" x14ac:dyDescent="0.35">
      <c r="A438">
        <f>'DASE DADOS - DISTANCIA'!A438</f>
        <v>6014453</v>
      </c>
      <c r="B438" t="str">
        <f>'DASE DADOS - DISTANCIA'!B438</f>
        <v>LONI EDITE WUTZKE BREDLAU</v>
      </c>
      <c r="C438" t="str">
        <f>'DASE DADOS - DISTANCIA'!C438</f>
        <v xml:space="preserve"> A3</v>
      </c>
      <c r="D438" t="str">
        <f>'DASE DADOS - DISTANCIA'!E438</f>
        <v>NOVA SANTA ROSA</v>
      </c>
      <c r="E438" t="str">
        <f>'DASE DADOS - DISTANCIA'!I438</f>
        <v>PLUMA</v>
      </c>
      <c r="F438" s="7">
        <v>94</v>
      </c>
      <c r="G438">
        <f>'DASE DADOS - DISTANCIA'!J438</f>
        <v>188</v>
      </c>
      <c r="H438" s="2">
        <v>420</v>
      </c>
      <c r="I438" s="2" t="e">
        <f>IF(#REF!&lt;17200,DISTÂNCIA3[[#This Row],[KM PARA PAGAMENTO DOS FRETES]]*4.74,((#REF!/17200)*4.74)*DISTÂNCIA3[[#This Row],[KM PARA PAGAMENTO DOS FRETES]])</f>
        <v>#REF!</v>
      </c>
      <c r="J438" s="4">
        <f>DISTÂNCIA3[[#This Row],[Valor CTE]]/DISTÂNCIA3[[#This Row],[KM PARA PAGAMENTO DOS FRETES]]</f>
        <v>5.4291489361702121</v>
      </c>
      <c r="K438" s="6">
        <f t="shared" si="16"/>
        <v>624.77</v>
      </c>
      <c r="L438" s="6">
        <f>0.92*DISTÂNCIA3[[#This Row],[KM distancia]]*4.578</f>
        <v>395.90544000000006</v>
      </c>
      <c r="M438" s="6">
        <f t="shared" si="17"/>
        <v>1020.68</v>
      </c>
    </row>
    <row r="439" spans="1:13" hidden="1" x14ac:dyDescent="0.35">
      <c r="A439">
        <f>'DASE DADOS - DISTANCIA'!A439</f>
        <v>6014453</v>
      </c>
      <c r="B439" t="str">
        <f>'DASE DADOS - DISTANCIA'!B439</f>
        <v>LONI EDITE WUTZKE BREDLAU</v>
      </c>
      <c r="C439" t="str">
        <f>'DASE DADOS - DISTANCIA'!C439</f>
        <v xml:space="preserve"> A2</v>
      </c>
      <c r="D439" t="str">
        <f>'DASE DADOS - DISTANCIA'!E439</f>
        <v>NOVA SANTA ROSA</v>
      </c>
      <c r="E439" t="str">
        <f>'DASE DADOS - DISTANCIA'!I439</f>
        <v>PLUMA</v>
      </c>
      <c r="F439" s="7">
        <v>94</v>
      </c>
      <c r="G439">
        <f>'DASE DADOS - DISTANCIA'!J439</f>
        <v>188</v>
      </c>
      <c r="H439" s="2">
        <v>420</v>
      </c>
      <c r="I439" s="2" t="e">
        <f>IF(#REF!&lt;17200,DISTÂNCIA3[[#This Row],[KM PARA PAGAMENTO DOS FRETES]]*4.74,((#REF!/17200)*4.74)*DISTÂNCIA3[[#This Row],[KM PARA PAGAMENTO DOS FRETES]])</f>
        <v>#REF!</v>
      </c>
      <c r="J439" s="4">
        <f>DISTÂNCIA3[[#This Row],[Valor CTE]]/DISTÂNCIA3[[#This Row],[KM PARA PAGAMENTO DOS FRETES]]</f>
        <v>5.4291489361702121</v>
      </c>
      <c r="K439" s="6">
        <f t="shared" si="16"/>
        <v>624.77</v>
      </c>
      <c r="L439" s="6">
        <f>0.92*DISTÂNCIA3[[#This Row],[KM distancia]]*4.578</f>
        <v>395.90544000000006</v>
      </c>
      <c r="M439" s="6">
        <f t="shared" si="17"/>
        <v>1020.68</v>
      </c>
    </row>
    <row r="440" spans="1:13" hidden="1" x14ac:dyDescent="0.35">
      <c r="A440">
        <f>'DASE DADOS - DISTANCIA'!A440</f>
        <v>6014453</v>
      </c>
      <c r="B440" t="str">
        <f>'DASE DADOS - DISTANCIA'!B440</f>
        <v>LONI EDITE WUTZKE BREDLAU</v>
      </c>
      <c r="C440" t="str">
        <f>'DASE DADOS - DISTANCIA'!C440</f>
        <v xml:space="preserve"> A1</v>
      </c>
      <c r="D440" t="str">
        <f>'DASE DADOS - DISTANCIA'!E440</f>
        <v>NOVA SANTA ROSA</v>
      </c>
      <c r="E440" t="str">
        <f>'DASE DADOS - DISTANCIA'!I440</f>
        <v>PLUMA</v>
      </c>
      <c r="F440" s="7">
        <v>94</v>
      </c>
      <c r="G440">
        <f>'DASE DADOS - DISTANCIA'!J440</f>
        <v>188</v>
      </c>
      <c r="H440" s="2">
        <v>420</v>
      </c>
      <c r="I440" s="2" t="e">
        <f>IF(#REF!&lt;17200,DISTÂNCIA3[[#This Row],[KM PARA PAGAMENTO DOS FRETES]]*4.74,((#REF!/17200)*4.74)*DISTÂNCIA3[[#This Row],[KM PARA PAGAMENTO DOS FRETES]])</f>
        <v>#REF!</v>
      </c>
      <c r="J440" s="4">
        <f>DISTÂNCIA3[[#This Row],[Valor CTE]]/DISTÂNCIA3[[#This Row],[KM PARA PAGAMENTO DOS FRETES]]</f>
        <v>5.4291489361702121</v>
      </c>
      <c r="K440" s="6">
        <f t="shared" si="16"/>
        <v>624.77</v>
      </c>
      <c r="L440" s="6">
        <f>0.92*DISTÂNCIA3[[#This Row],[KM distancia]]*4.578</f>
        <v>395.90544000000006</v>
      </c>
      <c r="M440" s="6">
        <f t="shared" si="17"/>
        <v>1020.68</v>
      </c>
    </row>
    <row r="441" spans="1:13" hidden="1" x14ac:dyDescent="0.35">
      <c r="A441">
        <f>'DASE DADOS - DISTANCIA'!A441</f>
        <v>0</v>
      </c>
      <c r="B441" t="str">
        <f>'DASE DADOS - DISTANCIA'!B441</f>
        <v>JOAO MARCOS SEIBERT</v>
      </c>
      <c r="C441" t="str">
        <f>'DASE DADOS - DISTANCIA'!C441</f>
        <v xml:space="preserve"> A1</v>
      </c>
      <c r="D441" t="str">
        <f>'DASE DADOS - DISTANCIA'!E441</f>
        <v>CASCAVEL</v>
      </c>
      <c r="E441" t="str">
        <f>'DASE DADOS - DISTANCIA'!I441</f>
        <v>PLUMA</v>
      </c>
      <c r="F441" s="7">
        <v>40.5</v>
      </c>
      <c r="G441">
        <f>'DASE DADOS - DISTANCIA'!J441</f>
        <v>81</v>
      </c>
      <c r="H441" s="2">
        <v>420</v>
      </c>
      <c r="I441" s="2" t="e">
        <f>IF(#REF!&lt;17200,DISTÂNCIA3[[#This Row],[KM PARA PAGAMENTO DOS FRETES]]*4.74,((#REF!/17200)*4.74)*DISTÂNCIA3[[#This Row],[KM PARA PAGAMENTO DOS FRETES]])</f>
        <v>#REF!</v>
      </c>
      <c r="J441" s="4">
        <f>DISTÂNCIA3[[#This Row],[Valor CTE]]/DISTÂNCIA3[[#This Row],[KM PARA PAGAMENTO DOS FRETES]]</f>
        <v>6.7954320987654313</v>
      </c>
      <c r="K441" s="6">
        <f t="shared" si="16"/>
        <v>379.85</v>
      </c>
      <c r="L441" s="6">
        <f>0.92*DISTÂNCIA3[[#This Row],[KM distancia]]*4.578</f>
        <v>170.57628000000003</v>
      </c>
      <c r="M441" s="6">
        <f t="shared" si="17"/>
        <v>550.42999999999995</v>
      </c>
    </row>
    <row r="442" spans="1:13" hidden="1" x14ac:dyDescent="0.35">
      <c r="A442">
        <f>'DASE DADOS - DISTANCIA'!A442</f>
        <v>5442982</v>
      </c>
      <c r="B442" t="str">
        <f>'DASE DADOS - DISTANCIA'!B442</f>
        <v>LOURDES BRAGAGNOLLO</v>
      </c>
      <c r="C442" t="str">
        <f>'DASE DADOS - DISTANCIA'!C442</f>
        <v xml:space="preserve"> A1</v>
      </c>
      <c r="D442" t="str">
        <f>'DASE DADOS - DISTANCIA'!E442</f>
        <v>TOLEDO</v>
      </c>
      <c r="E442" t="str">
        <f>'DASE DADOS - DISTANCIA'!I442</f>
        <v>PLUMA</v>
      </c>
      <c r="F442" s="7">
        <v>64</v>
      </c>
      <c r="G442">
        <f>'DASE DADOS - DISTANCIA'!J442</f>
        <v>128</v>
      </c>
      <c r="H442" s="2">
        <v>420</v>
      </c>
      <c r="I442" s="2" t="e">
        <f>IF(#REF!&lt;17200,DISTÂNCIA3[[#This Row],[KM PARA PAGAMENTO DOS FRETES]]*4.74,((#REF!/17200)*4.74)*DISTÂNCIA3[[#This Row],[KM PARA PAGAMENTO DOS FRETES]])</f>
        <v>#REF!</v>
      </c>
      <c r="J442" s="4">
        <f>DISTÂNCIA3[[#This Row],[Valor CTE]]/DISTÂNCIA3[[#This Row],[KM PARA PAGAMENTO DOS FRETES]]</f>
        <v>5.9139062500000001</v>
      </c>
      <c r="K442" s="6">
        <f t="shared" si="16"/>
        <v>487.43</v>
      </c>
      <c r="L442" s="6">
        <f>0.92*DISTÂNCIA3[[#This Row],[KM distancia]]*4.578</f>
        <v>269.55264000000005</v>
      </c>
      <c r="M442" s="6">
        <f t="shared" si="17"/>
        <v>756.98</v>
      </c>
    </row>
    <row r="443" spans="1:13" hidden="1" x14ac:dyDescent="0.35">
      <c r="A443">
        <f>'DASE DADOS - DISTANCIA'!A443</f>
        <v>5442982</v>
      </c>
      <c r="B443" t="str">
        <f>'DASE DADOS - DISTANCIA'!B443</f>
        <v>LOURDES BRAGAGNOLLO</v>
      </c>
      <c r="C443" t="str">
        <f>'DASE DADOS - DISTANCIA'!C443</f>
        <v xml:space="preserve"> A2</v>
      </c>
      <c r="D443" t="str">
        <f>'DASE DADOS - DISTANCIA'!E443</f>
        <v>TOLEDO</v>
      </c>
      <c r="E443" t="str">
        <f>'DASE DADOS - DISTANCIA'!I443</f>
        <v>PLUMA</v>
      </c>
      <c r="F443" s="7">
        <v>64</v>
      </c>
      <c r="G443">
        <f>'DASE DADOS - DISTANCIA'!J443</f>
        <v>128</v>
      </c>
      <c r="H443" s="2">
        <v>420</v>
      </c>
      <c r="I443" s="2" t="e">
        <f>IF(#REF!&lt;17200,DISTÂNCIA3[[#This Row],[KM PARA PAGAMENTO DOS FRETES]]*4.74,((#REF!/17200)*4.74)*DISTÂNCIA3[[#This Row],[KM PARA PAGAMENTO DOS FRETES]])</f>
        <v>#REF!</v>
      </c>
      <c r="J443" s="4">
        <f>DISTÂNCIA3[[#This Row],[Valor CTE]]/DISTÂNCIA3[[#This Row],[KM PARA PAGAMENTO DOS FRETES]]</f>
        <v>5.9139062500000001</v>
      </c>
      <c r="K443" s="6">
        <f t="shared" si="16"/>
        <v>487.43</v>
      </c>
      <c r="L443" s="6">
        <f>0.92*DISTÂNCIA3[[#This Row],[KM distancia]]*4.578</f>
        <v>269.55264000000005</v>
      </c>
      <c r="M443" s="6">
        <f t="shared" si="17"/>
        <v>756.98</v>
      </c>
    </row>
    <row r="444" spans="1:13" hidden="1" x14ac:dyDescent="0.35">
      <c r="A444">
        <f>'DASE DADOS - DISTANCIA'!A444</f>
        <v>5442982</v>
      </c>
      <c r="B444" t="str">
        <f>'DASE DADOS - DISTANCIA'!B444</f>
        <v>LOURDES BRAGAGNOLLO</v>
      </c>
      <c r="C444" t="str">
        <f>'DASE DADOS - DISTANCIA'!C444</f>
        <v xml:space="preserve"> A3</v>
      </c>
      <c r="D444" t="str">
        <f>'DASE DADOS - DISTANCIA'!E444</f>
        <v>TOLEDO</v>
      </c>
      <c r="E444" t="str">
        <f>'DASE DADOS - DISTANCIA'!I444</f>
        <v>PLUMA</v>
      </c>
      <c r="F444" s="7">
        <v>64</v>
      </c>
      <c r="G444">
        <f>'DASE DADOS - DISTANCIA'!J444</f>
        <v>128</v>
      </c>
      <c r="H444" s="2">
        <v>420</v>
      </c>
      <c r="I444" s="2" t="e">
        <f>IF(#REF!&lt;17200,DISTÂNCIA3[[#This Row],[KM PARA PAGAMENTO DOS FRETES]]*4.74,((#REF!/17200)*4.74)*DISTÂNCIA3[[#This Row],[KM PARA PAGAMENTO DOS FRETES]])</f>
        <v>#REF!</v>
      </c>
      <c r="J444" s="4">
        <f>DISTÂNCIA3[[#This Row],[Valor CTE]]/DISTÂNCIA3[[#This Row],[KM PARA PAGAMENTO DOS FRETES]]</f>
        <v>5.9139062500000001</v>
      </c>
      <c r="K444" s="6">
        <f t="shared" si="16"/>
        <v>487.43</v>
      </c>
      <c r="L444" s="6">
        <f>0.92*DISTÂNCIA3[[#This Row],[KM distancia]]*4.578</f>
        <v>269.55264000000005</v>
      </c>
      <c r="M444" s="6">
        <f t="shared" si="17"/>
        <v>756.98</v>
      </c>
    </row>
    <row r="445" spans="1:13" hidden="1" x14ac:dyDescent="0.35">
      <c r="A445">
        <f>'DASE DADOS - DISTANCIA'!A445</f>
        <v>5442982</v>
      </c>
      <c r="B445" t="str">
        <f>'DASE DADOS - DISTANCIA'!B445</f>
        <v>LOURDES BRAGAGNOLLO</v>
      </c>
      <c r="C445" t="str">
        <f>'DASE DADOS - DISTANCIA'!C445</f>
        <v xml:space="preserve"> A4</v>
      </c>
      <c r="D445" t="str">
        <f>'DASE DADOS - DISTANCIA'!E445</f>
        <v>TOLEDO</v>
      </c>
      <c r="E445" t="str">
        <f>'DASE DADOS - DISTANCIA'!I445</f>
        <v>PLUMA</v>
      </c>
      <c r="F445" s="7">
        <v>64</v>
      </c>
      <c r="G445">
        <f>'DASE DADOS - DISTANCIA'!J445</f>
        <v>128</v>
      </c>
      <c r="H445" s="2">
        <v>420</v>
      </c>
      <c r="I445" s="2" t="e">
        <f>IF(#REF!&lt;17200,DISTÂNCIA3[[#This Row],[KM PARA PAGAMENTO DOS FRETES]]*4.74,((#REF!/17200)*4.74)*DISTÂNCIA3[[#This Row],[KM PARA PAGAMENTO DOS FRETES]])</f>
        <v>#REF!</v>
      </c>
      <c r="J445" s="4">
        <f>DISTÂNCIA3[[#This Row],[Valor CTE]]/DISTÂNCIA3[[#This Row],[KM PARA PAGAMENTO DOS FRETES]]</f>
        <v>5.9139062500000001</v>
      </c>
      <c r="K445" s="6">
        <f t="shared" si="16"/>
        <v>487.43</v>
      </c>
      <c r="L445" s="6">
        <f>0.92*DISTÂNCIA3[[#This Row],[KM distancia]]*4.578</f>
        <v>269.55264000000005</v>
      </c>
      <c r="M445" s="6">
        <f t="shared" si="17"/>
        <v>756.98</v>
      </c>
    </row>
    <row r="446" spans="1:13" hidden="1" x14ac:dyDescent="0.35">
      <c r="A446">
        <f>'DASE DADOS - DISTANCIA'!A446</f>
        <v>5442982</v>
      </c>
      <c r="B446" t="str">
        <f>'DASE DADOS - DISTANCIA'!B446</f>
        <v>LOURDES BRAGAGNOLLO</v>
      </c>
      <c r="C446" t="str">
        <f>'DASE DADOS - DISTANCIA'!C446</f>
        <v xml:space="preserve"> A5</v>
      </c>
      <c r="D446" t="str">
        <f>'DASE DADOS - DISTANCIA'!E446</f>
        <v>TOLEDO</v>
      </c>
      <c r="E446" t="str">
        <f>'DASE DADOS - DISTANCIA'!I446</f>
        <v>PLUMA</v>
      </c>
      <c r="F446" s="7">
        <v>64</v>
      </c>
      <c r="G446">
        <f>'DASE DADOS - DISTANCIA'!J446</f>
        <v>128</v>
      </c>
      <c r="H446" s="2">
        <v>420</v>
      </c>
      <c r="I446" s="2" t="e">
        <f>IF(#REF!&lt;17200,DISTÂNCIA3[[#This Row],[KM PARA PAGAMENTO DOS FRETES]]*4.74,((#REF!/17200)*4.74)*DISTÂNCIA3[[#This Row],[KM PARA PAGAMENTO DOS FRETES]])</f>
        <v>#REF!</v>
      </c>
      <c r="J446" s="4">
        <f>DISTÂNCIA3[[#This Row],[Valor CTE]]/DISTÂNCIA3[[#This Row],[KM PARA PAGAMENTO DOS FRETES]]</f>
        <v>5.9139062500000001</v>
      </c>
      <c r="K446" s="6">
        <f t="shared" si="16"/>
        <v>487.43</v>
      </c>
      <c r="L446" s="6">
        <f>0.92*DISTÂNCIA3[[#This Row],[KM distancia]]*4.578</f>
        <v>269.55264000000005</v>
      </c>
      <c r="M446" s="6">
        <f t="shared" si="17"/>
        <v>756.98</v>
      </c>
    </row>
    <row r="447" spans="1:13" hidden="1" x14ac:dyDescent="0.35">
      <c r="A447">
        <f>'DASE DADOS - DISTANCIA'!A447</f>
        <v>5757061</v>
      </c>
      <c r="B447" t="str">
        <f>'DASE DADOS - DISTANCIA'!B447</f>
        <v>LOURDES SANTIN WALZINIAK</v>
      </c>
      <c r="C447" t="str">
        <f>'DASE DADOS - DISTANCIA'!C447</f>
        <v xml:space="preserve"> A2</v>
      </c>
      <c r="D447" t="str">
        <f>'DASE DADOS - DISTANCIA'!E447</f>
        <v>CASCAVEL</v>
      </c>
      <c r="E447" t="str">
        <f>'DASE DADOS - DISTANCIA'!I447</f>
        <v>PLUMA</v>
      </c>
      <c r="F447" s="7">
        <v>31</v>
      </c>
      <c r="G447">
        <f>'DASE DADOS - DISTANCIA'!J447</f>
        <v>62</v>
      </c>
      <c r="H447" s="2">
        <v>420</v>
      </c>
      <c r="I447" s="2" t="e">
        <f>IF(#REF!&lt;17200,DISTÂNCIA3[[#This Row],[KM PARA PAGAMENTO DOS FRETES]]*4.74,((#REF!/17200)*4.74)*DISTÂNCIA3[[#This Row],[KM PARA PAGAMENTO DOS FRETES]])</f>
        <v>#REF!</v>
      </c>
      <c r="J447" s="4">
        <f>DISTÂNCIA3[[#This Row],[Valor CTE]]/DISTÂNCIA3[[#This Row],[KM PARA PAGAMENTO DOS FRETES]]</f>
        <v>7.5309677419354841</v>
      </c>
      <c r="K447" s="6">
        <f t="shared" si="16"/>
        <v>336.36</v>
      </c>
      <c r="L447" s="6">
        <f>0.92*DISTÂNCIA3[[#This Row],[KM distancia]]*4.578</f>
        <v>130.56456</v>
      </c>
      <c r="M447" s="6">
        <f t="shared" si="17"/>
        <v>466.92</v>
      </c>
    </row>
    <row r="448" spans="1:13" hidden="1" x14ac:dyDescent="0.35">
      <c r="A448">
        <f>'DASE DADOS - DISTANCIA'!A448</f>
        <v>5757061</v>
      </c>
      <c r="B448" t="str">
        <f>'DASE DADOS - DISTANCIA'!B448</f>
        <v>LOURDES SANTIN WALZINIAK</v>
      </c>
      <c r="C448" t="str">
        <f>'DASE DADOS - DISTANCIA'!C448</f>
        <v xml:space="preserve"> A1</v>
      </c>
      <c r="D448" t="str">
        <f>'DASE DADOS - DISTANCIA'!E448</f>
        <v>CASCAVEL</v>
      </c>
      <c r="E448" t="str">
        <f>'DASE DADOS - DISTANCIA'!I448</f>
        <v>PLUMA</v>
      </c>
      <c r="F448" s="7">
        <v>31</v>
      </c>
      <c r="G448">
        <f>'DASE DADOS - DISTANCIA'!J448</f>
        <v>62</v>
      </c>
      <c r="H448" s="2">
        <v>420</v>
      </c>
      <c r="I448" s="2" t="e">
        <f>IF(#REF!&lt;17200,DISTÂNCIA3[[#This Row],[KM PARA PAGAMENTO DOS FRETES]]*4.74,((#REF!/17200)*4.74)*DISTÂNCIA3[[#This Row],[KM PARA PAGAMENTO DOS FRETES]])</f>
        <v>#REF!</v>
      </c>
      <c r="J448" s="4">
        <f>DISTÂNCIA3[[#This Row],[Valor CTE]]/DISTÂNCIA3[[#This Row],[KM PARA PAGAMENTO DOS FRETES]]</f>
        <v>7.5309677419354841</v>
      </c>
      <c r="K448" s="6">
        <f t="shared" si="16"/>
        <v>336.36</v>
      </c>
      <c r="L448" s="6">
        <f>0.92*DISTÂNCIA3[[#This Row],[KM distancia]]*4.578</f>
        <v>130.56456</v>
      </c>
      <c r="M448" s="6">
        <f t="shared" si="17"/>
        <v>466.92</v>
      </c>
    </row>
    <row r="449" spans="1:13" hidden="1" x14ac:dyDescent="0.35">
      <c r="A449">
        <f>'DASE DADOS - DISTANCIA'!A449</f>
        <v>0</v>
      </c>
      <c r="B449" t="str">
        <f>'DASE DADOS - DISTANCIA'!B449</f>
        <v>JONAS DALL AGNOL</v>
      </c>
      <c r="C449" t="str">
        <f>'DASE DADOS - DISTANCIA'!C449</f>
        <v xml:space="preserve"> A1</v>
      </c>
      <c r="D449" t="str">
        <f>'DASE DADOS - DISTANCIA'!E449</f>
        <v>CASCAVEL</v>
      </c>
      <c r="E449" t="str">
        <f>'DASE DADOS - DISTANCIA'!I449</f>
        <v>PLUMA</v>
      </c>
      <c r="F449" s="7">
        <v>22</v>
      </c>
      <c r="G449">
        <f>'DASE DADOS - DISTANCIA'!J449</f>
        <v>44</v>
      </c>
      <c r="H449" s="2">
        <v>420</v>
      </c>
      <c r="I449" s="2" t="e">
        <f>IF(#REF!&lt;17200,DISTÂNCIA3[[#This Row],[KM PARA PAGAMENTO DOS FRETES]]*4.74,((#REF!/17200)*4.74)*DISTÂNCIA3[[#This Row],[KM PARA PAGAMENTO DOS FRETES]])</f>
        <v>#REF!</v>
      </c>
      <c r="J449" s="4">
        <f>DISTÂNCIA3[[#This Row],[Valor CTE]]/DISTÂNCIA3[[#This Row],[KM PARA PAGAMENTO DOS FRETES]]</f>
        <v>8.8138636363636369</v>
      </c>
      <c r="K449" s="6">
        <f t="shared" si="16"/>
        <v>295.16000000000003</v>
      </c>
      <c r="L449" s="6">
        <f>0.92*DISTÂNCIA3[[#This Row],[KM distancia]]*4.578</f>
        <v>92.658720000000017</v>
      </c>
      <c r="M449" s="6">
        <f t="shared" si="17"/>
        <v>387.81</v>
      </c>
    </row>
    <row r="450" spans="1:13" hidden="1" x14ac:dyDescent="0.35">
      <c r="A450">
        <f>'DASE DADOS - DISTANCIA'!A450</f>
        <v>6143342</v>
      </c>
      <c r="B450" t="str">
        <f>'DASE DADOS - DISTANCIA'!B450</f>
        <v>LUCIANE MARIA KASPER BACH</v>
      </c>
      <c r="C450" t="str">
        <f>'DASE DADOS - DISTANCIA'!C450</f>
        <v xml:space="preserve"> A3</v>
      </c>
      <c r="D450" t="str">
        <f>'DASE DADOS - DISTANCIA'!E450</f>
        <v>TOLEDO</v>
      </c>
      <c r="E450" t="str">
        <f>'DASE DADOS - DISTANCIA'!I450</f>
        <v>PLUMA</v>
      </c>
      <c r="F450" s="7">
        <v>50</v>
      </c>
      <c r="G450">
        <f>'DASE DADOS - DISTANCIA'!J450</f>
        <v>100</v>
      </c>
      <c r="H450" s="2">
        <v>420</v>
      </c>
      <c r="I450" s="2" t="e">
        <f>IF(#REF!&lt;17200,DISTÂNCIA3[[#This Row],[KM PARA PAGAMENTO DOS FRETES]]*4.74,((#REF!/17200)*4.74)*DISTÂNCIA3[[#This Row],[KM PARA PAGAMENTO DOS FRETES]])</f>
        <v>#REF!</v>
      </c>
      <c r="J450" s="4">
        <f>DISTÂNCIA3[[#This Row],[Valor CTE]]/DISTÂNCIA3[[#This Row],[KM PARA PAGAMENTO DOS FRETES]]</f>
        <v>6.3392999999999997</v>
      </c>
      <c r="K450" s="6">
        <f t="shared" ref="K450:K513" si="18">ROUND((F450*4.578)+194.44,2)</f>
        <v>423.34</v>
      </c>
      <c r="L450" s="6">
        <f>0.92*DISTÂNCIA3[[#This Row],[KM distancia]]*4.578</f>
        <v>210.58800000000002</v>
      </c>
      <c r="M450" s="6">
        <f t="shared" si="17"/>
        <v>633.92999999999995</v>
      </c>
    </row>
    <row r="451" spans="1:13" hidden="1" x14ac:dyDescent="0.35">
      <c r="A451">
        <f>'DASE DADOS - DISTANCIA'!A451</f>
        <v>6143342</v>
      </c>
      <c r="B451" t="str">
        <f>'DASE DADOS - DISTANCIA'!B451</f>
        <v>LUCIANE MARIA KASPER BACH</v>
      </c>
      <c r="C451" t="str">
        <f>'DASE DADOS - DISTANCIA'!C451</f>
        <v xml:space="preserve"> A1</v>
      </c>
      <c r="D451" t="str">
        <f>'DASE DADOS - DISTANCIA'!E451</f>
        <v>TOLEDO</v>
      </c>
      <c r="E451" t="str">
        <f>'DASE DADOS - DISTANCIA'!I451</f>
        <v>PLUMA</v>
      </c>
      <c r="F451" s="7">
        <v>50</v>
      </c>
      <c r="G451">
        <f>'DASE DADOS - DISTANCIA'!J451</f>
        <v>100</v>
      </c>
      <c r="H451" s="2">
        <v>420</v>
      </c>
      <c r="I451" s="2" t="e">
        <f>IF(#REF!&lt;17200,DISTÂNCIA3[[#This Row],[KM PARA PAGAMENTO DOS FRETES]]*4.74,((#REF!/17200)*4.74)*DISTÂNCIA3[[#This Row],[KM PARA PAGAMENTO DOS FRETES]])</f>
        <v>#REF!</v>
      </c>
      <c r="J451" s="4">
        <f>DISTÂNCIA3[[#This Row],[Valor CTE]]/DISTÂNCIA3[[#This Row],[KM PARA PAGAMENTO DOS FRETES]]</f>
        <v>6.3392999999999997</v>
      </c>
      <c r="K451" s="6">
        <f t="shared" si="18"/>
        <v>423.34</v>
      </c>
      <c r="L451" s="6">
        <f>0.92*DISTÂNCIA3[[#This Row],[KM distancia]]*4.578</f>
        <v>210.58800000000002</v>
      </c>
      <c r="M451" s="6">
        <f t="shared" ref="M451:M514" si="19">ROUND(((F451*4.578)+194.44)+(0.92*F451*4.578),2)</f>
        <v>633.92999999999995</v>
      </c>
    </row>
    <row r="452" spans="1:13" hidden="1" x14ac:dyDescent="0.35">
      <c r="A452">
        <f>'DASE DADOS - DISTANCIA'!A452</f>
        <v>1088114</v>
      </c>
      <c r="B452" t="str">
        <f>'DASE DADOS - DISTANCIA'!B452</f>
        <v>LUCIANE SAVI MONDO</v>
      </c>
      <c r="C452" t="str">
        <f>'DASE DADOS - DISTANCIA'!C452</f>
        <v xml:space="preserve"> A2</v>
      </c>
      <c r="D452" t="str">
        <f>'DASE DADOS - DISTANCIA'!E452</f>
        <v>TRÊS BARRAS DO PARANÁ</v>
      </c>
      <c r="E452" t="str">
        <f>'DASE DADOS - DISTANCIA'!I452</f>
        <v>PLUSVAL</v>
      </c>
      <c r="F452" s="7">
        <v>84</v>
      </c>
      <c r="G452">
        <f>'DASE DADOS - DISTANCIA'!J452</f>
        <v>168</v>
      </c>
      <c r="H452" s="2">
        <v>420</v>
      </c>
      <c r="I452" s="2" t="e">
        <f>IF(#REF!&lt;17200,DISTÂNCIA3[[#This Row],[KM PARA PAGAMENTO DOS FRETES]]*4.74,((#REF!/17200)*4.74)*DISTÂNCIA3[[#This Row],[KM PARA PAGAMENTO DOS FRETES]])</f>
        <v>#REF!</v>
      </c>
      <c r="J452" s="4">
        <f>DISTÂNCIA3[[#This Row],[Valor CTE]]/DISTÂNCIA3[[#This Row],[KM PARA PAGAMENTO DOS FRETES]]</f>
        <v>5.5522619047619042</v>
      </c>
      <c r="K452" s="6">
        <f t="shared" si="18"/>
        <v>578.99</v>
      </c>
      <c r="L452" s="6">
        <f>0.92*DISTÂNCIA3[[#This Row],[KM distancia]]*4.578</f>
        <v>353.78784000000002</v>
      </c>
      <c r="M452" s="6">
        <f t="shared" si="19"/>
        <v>932.78</v>
      </c>
    </row>
    <row r="453" spans="1:13" hidden="1" x14ac:dyDescent="0.35">
      <c r="A453">
        <f>'DASE DADOS - DISTANCIA'!A453</f>
        <v>1088114</v>
      </c>
      <c r="B453" t="str">
        <f>'DASE DADOS - DISTANCIA'!B453</f>
        <v>LUCIANE SAVI MONDO</v>
      </c>
      <c r="C453" t="str">
        <f>'DASE DADOS - DISTANCIA'!C453</f>
        <v xml:space="preserve"> A1</v>
      </c>
      <c r="D453" t="str">
        <f>'DASE DADOS - DISTANCIA'!E453</f>
        <v>TRÊS BARRAS DO PARANÁ</v>
      </c>
      <c r="E453" t="str">
        <f>'DASE DADOS - DISTANCIA'!I453</f>
        <v>PLUSVAL</v>
      </c>
      <c r="F453" s="7">
        <v>84</v>
      </c>
      <c r="G453">
        <f>'DASE DADOS - DISTANCIA'!J453</f>
        <v>168</v>
      </c>
      <c r="H453" s="2">
        <v>420</v>
      </c>
      <c r="I453" s="2" t="e">
        <f>IF(#REF!&lt;17200,DISTÂNCIA3[[#This Row],[KM PARA PAGAMENTO DOS FRETES]]*4.74,((#REF!/17200)*4.74)*DISTÂNCIA3[[#This Row],[KM PARA PAGAMENTO DOS FRETES]])</f>
        <v>#REF!</v>
      </c>
      <c r="J453" s="4">
        <f>DISTÂNCIA3[[#This Row],[Valor CTE]]/DISTÂNCIA3[[#This Row],[KM PARA PAGAMENTO DOS FRETES]]</f>
        <v>5.5522619047619042</v>
      </c>
      <c r="K453" s="6">
        <f t="shared" si="18"/>
        <v>578.99</v>
      </c>
      <c r="L453" s="6">
        <f>0.92*DISTÂNCIA3[[#This Row],[KM distancia]]*4.578</f>
        <v>353.78784000000002</v>
      </c>
      <c r="M453" s="6">
        <f t="shared" si="19"/>
        <v>932.78</v>
      </c>
    </row>
    <row r="454" spans="1:13" hidden="1" x14ac:dyDescent="0.35">
      <c r="A454">
        <f>'DASE DADOS - DISTANCIA'!A454</f>
        <v>3999548</v>
      </c>
      <c r="B454" t="str">
        <f>'DASE DADOS - DISTANCIA'!B454</f>
        <v>LUIS CARLOS BACKES</v>
      </c>
      <c r="C454" t="str">
        <f>'DASE DADOS - DISTANCIA'!C454</f>
        <v xml:space="preserve"> A2</v>
      </c>
      <c r="D454" t="str">
        <f>'DASE DADOS - DISTANCIA'!E454</f>
        <v>TOLEDO</v>
      </c>
      <c r="E454" t="str">
        <f>'DASE DADOS - DISTANCIA'!I454</f>
        <v>PLUMA</v>
      </c>
      <c r="F454" s="7">
        <v>49</v>
      </c>
      <c r="G454">
        <f>'DASE DADOS - DISTANCIA'!J454</f>
        <v>98</v>
      </c>
      <c r="H454" s="2">
        <v>420</v>
      </c>
      <c r="I454" s="2" t="e">
        <f>IF(#REF!&lt;17200,DISTÂNCIA3[[#This Row],[KM PARA PAGAMENTO DOS FRETES]]*4.74,((#REF!/17200)*4.74)*DISTÂNCIA3[[#This Row],[KM PARA PAGAMENTO DOS FRETES]])</f>
        <v>#REF!</v>
      </c>
      <c r="J454" s="4">
        <f>DISTÂNCIA3[[#This Row],[Valor CTE]]/DISTÂNCIA3[[#This Row],[KM PARA PAGAMENTO DOS FRETES]]</f>
        <v>6.3789795918367345</v>
      </c>
      <c r="K454" s="6">
        <f t="shared" si="18"/>
        <v>418.76</v>
      </c>
      <c r="L454" s="6">
        <f>0.92*DISTÂNCIA3[[#This Row],[KM distancia]]*4.578</f>
        <v>206.37624000000002</v>
      </c>
      <c r="M454" s="6">
        <f t="shared" si="19"/>
        <v>625.14</v>
      </c>
    </row>
    <row r="455" spans="1:13" hidden="1" x14ac:dyDescent="0.35">
      <c r="A455">
        <f>'DASE DADOS - DISTANCIA'!A455</f>
        <v>3999548</v>
      </c>
      <c r="B455" t="str">
        <f>'DASE DADOS - DISTANCIA'!B455</f>
        <v>LUIS CARLOS BACKES</v>
      </c>
      <c r="C455" t="str">
        <f>'DASE DADOS - DISTANCIA'!C455</f>
        <v xml:space="preserve"> A3</v>
      </c>
      <c r="D455" t="str">
        <f>'DASE DADOS - DISTANCIA'!E455</f>
        <v>TOLEDO</v>
      </c>
      <c r="E455" t="str">
        <f>'DASE DADOS - DISTANCIA'!I455</f>
        <v>PLUMA</v>
      </c>
      <c r="F455" s="7">
        <v>49</v>
      </c>
      <c r="G455">
        <f>'DASE DADOS - DISTANCIA'!J455</f>
        <v>98</v>
      </c>
      <c r="H455" s="2">
        <v>420</v>
      </c>
      <c r="I455" s="2" t="e">
        <f>IF(#REF!&lt;17200,DISTÂNCIA3[[#This Row],[KM PARA PAGAMENTO DOS FRETES]]*4.74,((#REF!/17200)*4.74)*DISTÂNCIA3[[#This Row],[KM PARA PAGAMENTO DOS FRETES]])</f>
        <v>#REF!</v>
      </c>
      <c r="J455" s="4">
        <f>DISTÂNCIA3[[#This Row],[Valor CTE]]/DISTÂNCIA3[[#This Row],[KM PARA PAGAMENTO DOS FRETES]]</f>
        <v>6.3789795918367345</v>
      </c>
      <c r="K455" s="6">
        <f t="shared" si="18"/>
        <v>418.76</v>
      </c>
      <c r="L455" s="6">
        <f>0.92*DISTÂNCIA3[[#This Row],[KM distancia]]*4.578</f>
        <v>206.37624000000002</v>
      </c>
      <c r="M455" s="6">
        <f t="shared" si="19"/>
        <v>625.14</v>
      </c>
    </row>
    <row r="456" spans="1:13" hidden="1" x14ac:dyDescent="0.35">
      <c r="A456">
        <f>'DASE DADOS - DISTANCIA'!A456</f>
        <v>3999548</v>
      </c>
      <c r="B456" t="str">
        <f>'DASE DADOS - DISTANCIA'!B456</f>
        <v>LUIS CARLOS BACKES</v>
      </c>
      <c r="C456" t="str">
        <f>'DASE DADOS - DISTANCIA'!C456</f>
        <v xml:space="preserve"> A1</v>
      </c>
      <c r="D456" t="str">
        <f>'DASE DADOS - DISTANCIA'!E456</f>
        <v>TOLEDO</v>
      </c>
      <c r="E456" t="str">
        <f>'DASE DADOS - DISTANCIA'!I456</f>
        <v>PLUMA</v>
      </c>
      <c r="F456" s="7">
        <v>49</v>
      </c>
      <c r="G456">
        <f>'DASE DADOS - DISTANCIA'!J456</f>
        <v>98</v>
      </c>
      <c r="H456" s="2">
        <v>420</v>
      </c>
      <c r="I456" s="2" t="e">
        <f>IF(#REF!&lt;17200,DISTÂNCIA3[[#This Row],[KM PARA PAGAMENTO DOS FRETES]]*4.74,((#REF!/17200)*4.74)*DISTÂNCIA3[[#This Row],[KM PARA PAGAMENTO DOS FRETES]])</f>
        <v>#REF!</v>
      </c>
      <c r="J456" s="4">
        <f>DISTÂNCIA3[[#This Row],[Valor CTE]]/DISTÂNCIA3[[#This Row],[KM PARA PAGAMENTO DOS FRETES]]</f>
        <v>6.3789795918367345</v>
      </c>
      <c r="K456" s="6">
        <f t="shared" si="18"/>
        <v>418.76</v>
      </c>
      <c r="L456" s="6">
        <f>0.92*DISTÂNCIA3[[#This Row],[KM distancia]]*4.578</f>
        <v>206.37624000000002</v>
      </c>
      <c r="M456" s="6">
        <f t="shared" si="19"/>
        <v>625.14</v>
      </c>
    </row>
    <row r="457" spans="1:13" hidden="1" x14ac:dyDescent="0.35">
      <c r="A457">
        <f>'DASE DADOS - DISTANCIA'!A457</f>
        <v>6458092</v>
      </c>
      <c r="B457" t="str">
        <f>'DASE DADOS - DISTANCIA'!B457</f>
        <v>GELCI FERNANDES EBERHARDT</v>
      </c>
      <c r="C457" t="str">
        <f>'DASE DADOS - DISTANCIA'!C457</f>
        <v>A1</v>
      </c>
      <c r="D457" t="str">
        <f>'DASE DADOS - DISTANCIA'!E457</f>
        <v>VERA CRUZ DO OESTE</v>
      </c>
      <c r="E457" t="str">
        <f>'DASE DADOS - DISTANCIA'!I457</f>
        <v>PLUMA</v>
      </c>
      <c r="F457" s="7">
        <v>49</v>
      </c>
      <c r="G457">
        <f>'DASE DADOS - DISTANCIA'!J457</f>
        <v>98</v>
      </c>
      <c r="H457" s="2">
        <v>420</v>
      </c>
      <c r="I457" s="2" t="e">
        <f>IF(#REF!&lt;17200,DISTÂNCIA3[[#This Row],[KM PARA PAGAMENTO DOS FRETES]]*4.74,((#REF!/17200)*4.74)*DISTÂNCIA3[[#This Row],[KM PARA PAGAMENTO DOS FRETES]])</f>
        <v>#REF!</v>
      </c>
      <c r="J457" s="4">
        <f>DISTÂNCIA3[[#This Row],[Valor CTE]]/DISTÂNCIA3[[#This Row],[KM PARA PAGAMENTO DOS FRETES]]</f>
        <v>6.3789795918367345</v>
      </c>
      <c r="K457" s="6">
        <f t="shared" si="18"/>
        <v>418.76</v>
      </c>
      <c r="L457" s="6">
        <f>0.92*DISTÂNCIA3[[#This Row],[KM distancia]]*4.578</f>
        <v>206.37624000000002</v>
      </c>
      <c r="M457" s="6">
        <f t="shared" si="19"/>
        <v>625.14</v>
      </c>
    </row>
    <row r="458" spans="1:13" hidden="1" x14ac:dyDescent="0.35">
      <c r="A458">
        <f>'DASE DADOS - DISTANCIA'!A458</f>
        <v>30081</v>
      </c>
      <c r="B458" t="str">
        <f>'DASE DADOS - DISTANCIA'!B458</f>
        <v>LUIZ JOSE DE SOUZA</v>
      </c>
      <c r="C458" t="str">
        <f>'DASE DADOS - DISTANCIA'!C458</f>
        <v xml:space="preserve"> A1</v>
      </c>
      <c r="D458" t="str">
        <f>'DASE DADOS - DISTANCIA'!E458</f>
        <v>TRÊS BARRAS DO PARANÁ</v>
      </c>
      <c r="E458" t="str">
        <f>'DASE DADOS - DISTANCIA'!I458</f>
        <v>PLUSVAL</v>
      </c>
      <c r="F458" s="7">
        <v>114</v>
      </c>
      <c r="G458">
        <f>'DASE DADOS - DISTANCIA'!J458</f>
        <v>228</v>
      </c>
      <c r="H458" s="2">
        <v>420</v>
      </c>
      <c r="I458" s="2" t="e">
        <f>IF(#REF!&lt;17200,DISTÂNCIA3[[#This Row],[KM PARA PAGAMENTO DOS FRETES]]*4.74,((#REF!/17200)*4.74)*DISTÂNCIA3[[#This Row],[KM PARA PAGAMENTO DOS FRETES]])</f>
        <v>#REF!</v>
      </c>
      <c r="J458" s="4">
        <f>DISTÂNCIA3[[#This Row],[Valor CTE]]/DISTÂNCIA3[[#This Row],[KM PARA PAGAMENTO DOS FRETES]]</f>
        <v>5.2476754385964917</v>
      </c>
      <c r="K458" s="6">
        <f t="shared" si="18"/>
        <v>716.33</v>
      </c>
      <c r="L458" s="6">
        <f>0.92*DISTÂNCIA3[[#This Row],[KM distancia]]*4.578</f>
        <v>480.14064000000008</v>
      </c>
      <c r="M458" s="6">
        <f t="shared" si="19"/>
        <v>1196.47</v>
      </c>
    </row>
    <row r="459" spans="1:13" hidden="1" x14ac:dyDescent="0.35">
      <c r="A459">
        <f>'DASE DADOS - DISTANCIA'!A459</f>
        <v>30081</v>
      </c>
      <c r="B459" t="str">
        <f>'DASE DADOS - DISTANCIA'!B459</f>
        <v>LUIZ JOSE DE SOUZA</v>
      </c>
      <c r="C459" t="str">
        <f>'DASE DADOS - DISTANCIA'!C459</f>
        <v xml:space="preserve"> A2</v>
      </c>
      <c r="D459" t="str">
        <f>'DASE DADOS - DISTANCIA'!E459</f>
        <v>TRÊS BARRAS DO PARANÁ</v>
      </c>
      <c r="E459" t="str">
        <f>'DASE DADOS - DISTANCIA'!I459</f>
        <v>PLUSVAL</v>
      </c>
      <c r="F459" s="7">
        <v>114</v>
      </c>
      <c r="G459">
        <f>'DASE DADOS - DISTANCIA'!J459</f>
        <v>228</v>
      </c>
      <c r="H459" s="2">
        <v>420</v>
      </c>
      <c r="I459" s="2" t="e">
        <f>IF(#REF!&lt;17200,DISTÂNCIA3[[#This Row],[KM PARA PAGAMENTO DOS FRETES]]*4.74,((#REF!/17200)*4.74)*DISTÂNCIA3[[#This Row],[KM PARA PAGAMENTO DOS FRETES]])</f>
        <v>#REF!</v>
      </c>
      <c r="J459" s="4">
        <f>DISTÂNCIA3[[#This Row],[Valor CTE]]/DISTÂNCIA3[[#This Row],[KM PARA PAGAMENTO DOS FRETES]]</f>
        <v>5.2476754385964917</v>
      </c>
      <c r="K459" s="6">
        <f t="shared" si="18"/>
        <v>716.33</v>
      </c>
      <c r="L459" s="6">
        <f>0.92*DISTÂNCIA3[[#This Row],[KM distancia]]*4.578</f>
        <v>480.14064000000008</v>
      </c>
      <c r="M459" s="6">
        <f t="shared" si="19"/>
        <v>1196.47</v>
      </c>
    </row>
    <row r="460" spans="1:13" hidden="1" x14ac:dyDescent="0.35">
      <c r="A460">
        <f>'DASE DADOS - DISTANCIA'!A460</f>
        <v>30081</v>
      </c>
      <c r="B460" t="str">
        <f>'DASE DADOS - DISTANCIA'!B460</f>
        <v>LUIZ JOSE DE SOUZA</v>
      </c>
      <c r="C460" t="str">
        <f>'DASE DADOS - DISTANCIA'!C460</f>
        <v xml:space="preserve"> A3</v>
      </c>
      <c r="D460" t="str">
        <f>'DASE DADOS - DISTANCIA'!E460</f>
        <v>TRÊS BARRAS DO PARANÁ</v>
      </c>
      <c r="E460" t="str">
        <f>'DASE DADOS - DISTANCIA'!I460</f>
        <v>PLUSVAL</v>
      </c>
      <c r="F460" s="7">
        <v>114</v>
      </c>
      <c r="G460">
        <f>'DASE DADOS - DISTANCIA'!J460</f>
        <v>228</v>
      </c>
      <c r="H460" s="2">
        <v>420</v>
      </c>
      <c r="I460" s="2" t="e">
        <f>IF(#REF!&lt;17200,DISTÂNCIA3[[#This Row],[KM PARA PAGAMENTO DOS FRETES]]*4.74,((#REF!/17200)*4.74)*DISTÂNCIA3[[#This Row],[KM PARA PAGAMENTO DOS FRETES]])</f>
        <v>#REF!</v>
      </c>
      <c r="J460" s="4">
        <f>DISTÂNCIA3[[#This Row],[Valor CTE]]/DISTÂNCIA3[[#This Row],[KM PARA PAGAMENTO DOS FRETES]]</f>
        <v>5.2476754385964917</v>
      </c>
      <c r="K460" s="6">
        <f t="shared" si="18"/>
        <v>716.33</v>
      </c>
      <c r="L460" s="6">
        <f>0.92*DISTÂNCIA3[[#This Row],[KM distancia]]*4.578</f>
        <v>480.14064000000008</v>
      </c>
      <c r="M460" s="6">
        <f t="shared" si="19"/>
        <v>1196.47</v>
      </c>
    </row>
    <row r="461" spans="1:13" hidden="1" x14ac:dyDescent="0.35">
      <c r="A461">
        <f>'DASE DADOS - DISTANCIA'!A461</f>
        <v>46829</v>
      </c>
      <c r="B461" t="str">
        <f>'DASE DADOS - DISTANCIA'!B461</f>
        <v>MARCELO KOPPER</v>
      </c>
      <c r="C461" t="str">
        <f>'DASE DADOS - DISTANCIA'!C461</f>
        <v xml:space="preserve"> A1</v>
      </c>
      <c r="D461" t="str">
        <f>'DASE DADOS - DISTANCIA'!E461</f>
        <v>CAPANEMA</v>
      </c>
      <c r="E461" t="str">
        <f>'DASE DADOS - DISTANCIA'!I461</f>
        <v>PLUSVAL</v>
      </c>
      <c r="F461" s="7">
        <v>121</v>
      </c>
      <c r="G461">
        <f>'DASE DADOS - DISTANCIA'!J461</f>
        <v>242</v>
      </c>
      <c r="H461" s="2">
        <v>420</v>
      </c>
      <c r="I461" s="2" t="e">
        <f>IF(#REF!&lt;17200,DISTÂNCIA3[[#This Row],[KM PARA PAGAMENTO DOS FRETES]]*4.74,((#REF!/17200)*4.74)*DISTÂNCIA3[[#This Row],[KM PARA PAGAMENTO DOS FRETES]])</f>
        <v>#REF!</v>
      </c>
      <c r="J461" s="4">
        <f>DISTÂNCIA3[[#This Row],[Valor CTE]]/DISTÂNCIA3[[#This Row],[KM PARA PAGAMENTO DOS FRETES]]</f>
        <v>5.1983471074380168</v>
      </c>
      <c r="K461" s="6">
        <f t="shared" si="18"/>
        <v>748.38</v>
      </c>
      <c r="L461" s="6">
        <f>0.92*DISTÂNCIA3[[#This Row],[KM distancia]]*4.578</f>
        <v>509.62296000000009</v>
      </c>
      <c r="M461" s="6">
        <f t="shared" si="19"/>
        <v>1258</v>
      </c>
    </row>
    <row r="462" spans="1:13" hidden="1" x14ac:dyDescent="0.35">
      <c r="A462">
        <f>'DASE DADOS - DISTANCIA'!A462</f>
        <v>46829</v>
      </c>
      <c r="B462" t="str">
        <f>'DASE DADOS - DISTANCIA'!B462</f>
        <v>MARCELO KOPPER</v>
      </c>
      <c r="C462" t="str">
        <f>'DASE DADOS - DISTANCIA'!C462</f>
        <v xml:space="preserve"> A2</v>
      </c>
      <c r="D462" t="str">
        <f>'DASE DADOS - DISTANCIA'!E462</f>
        <v>CAPANEMA</v>
      </c>
      <c r="E462" t="str">
        <f>'DASE DADOS - DISTANCIA'!I462</f>
        <v>PLUSVAL</v>
      </c>
      <c r="F462" s="7">
        <v>121</v>
      </c>
      <c r="G462">
        <f>'DASE DADOS - DISTANCIA'!J462</f>
        <v>242</v>
      </c>
      <c r="H462" s="2">
        <v>420</v>
      </c>
      <c r="I462" s="2" t="e">
        <f>IF(#REF!&lt;17200,DISTÂNCIA3[[#This Row],[KM PARA PAGAMENTO DOS FRETES]]*4.74,((#REF!/17200)*4.74)*DISTÂNCIA3[[#This Row],[KM PARA PAGAMENTO DOS FRETES]])</f>
        <v>#REF!</v>
      </c>
      <c r="J462" s="4">
        <f>DISTÂNCIA3[[#This Row],[Valor CTE]]/DISTÂNCIA3[[#This Row],[KM PARA PAGAMENTO DOS FRETES]]</f>
        <v>5.1983471074380168</v>
      </c>
      <c r="K462" s="6">
        <f t="shared" si="18"/>
        <v>748.38</v>
      </c>
      <c r="L462" s="6">
        <f>0.92*DISTÂNCIA3[[#This Row],[KM distancia]]*4.578</f>
        <v>509.62296000000009</v>
      </c>
      <c r="M462" s="6">
        <f t="shared" si="19"/>
        <v>1258</v>
      </c>
    </row>
    <row r="463" spans="1:13" hidden="1" x14ac:dyDescent="0.35">
      <c r="A463">
        <f>'DASE DADOS - DISTANCIA'!A463</f>
        <v>5357489</v>
      </c>
      <c r="B463" t="str">
        <f>'DASE DADOS - DISTANCIA'!B463</f>
        <v>MARCIELLI BORTOLOTTO CANTELLI</v>
      </c>
      <c r="C463" t="str">
        <f>'DASE DADOS - DISTANCIA'!C463</f>
        <v xml:space="preserve"> A2</v>
      </c>
      <c r="D463" t="str">
        <f>'DASE DADOS - DISTANCIA'!E463</f>
        <v>CASCAVEL</v>
      </c>
      <c r="E463" t="str">
        <f>'DASE DADOS - DISTANCIA'!I463</f>
        <v>PLUMA</v>
      </c>
      <c r="F463" s="7">
        <v>21</v>
      </c>
      <c r="G463">
        <f>'DASE DADOS - DISTANCIA'!J463</f>
        <v>42</v>
      </c>
      <c r="H463" s="2">
        <v>420</v>
      </c>
      <c r="I463" s="2" t="e">
        <f>IF(#REF!&lt;17200,DISTÂNCIA3[[#This Row],[KM PARA PAGAMENTO DOS FRETES]]*4.74,((#REF!/17200)*4.74)*DISTÂNCIA3[[#This Row],[KM PARA PAGAMENTO DOS FRETES]])</f>
        <v>#REF!</v>
      </c>
      <c r="J463" s="4">
        <f>DISTÂNCIA3[[#This Row],[Valor CTE]]/DISTÂNCIA3[[#This Row],[KM PARA PAGAMENTO DOS FRETES]]</f>
        <v>9.024285714285714</v>
      </c>
      <c r="K463" s="6">
        <f t="shared" si="18"/>
        <v>290.58</v>
      </c>
      <c r="L463" s="6">
        <f>0.92*DISTÂNCIA3[[#This Row],[KM distancia]]*4.578</f>
        <v>88.446960000000004</v>
      </c>
      <c r="M463" s="6">
        <f t="shared" si="19"/>
        <v>379.02</v>
      </c>
    </row>
    <row r="464" spans="1:13" hidden="1" x14ac:dyDescent="0.35">
      <c r="A464">
        <f>'DASE DADOS - DISTANCIA'!A464</f>
        <v>5357489</v>
      </c>
      <c r="B464" t="str">
        <f>'DASE DADOS - DISTANCIA'!B464</f>
        <v>MARCIELLI BORTOLOTTO CANTELLI</v>
      </c>
      <c r="C464" t="str">
        <f>'DASE DADOS - DISTANCIA'!C464</f>
        <v xml:space="preserve"> A1</v>
      </c>
      <c r="D464" t="str">
        <f>'DASE DADOS - DISTANCIA'!E464</f>
        <v>CASCAVEL</v>
      </c>
      <c r="E464" t="str">
        <f>'DASE DADOS - DISTANCIA'!I464</f>
        <v>PLUMA</v>
      </c>
      <c r="F464" s="7">
        <v>21</v>
      </c>
      <c r="G464">
        <f>'DASE DADOS - DISTANCIA'!J464</f>
        <v>42</v>
      </c>
      <c r="H464" s="2">
        <v>420</v>
      </c>
      <c r="I464" s="2" t="e">
        <f>IF(#REF!&lt;17200,DISTÂNCIA3[[#This Row],[KM PARA PAGAMENTO DOS FRETES]]*4.74,((#REF!/17200)*4.74)*DISTÂNCIA3[[#This Row],[KM PARA PAGAMENTO DOS FRETES]])</f>
        <v>#REF!</v>
      </c>
      <c r="J464" s="4">
        <f>DISTÂNCIA3[[#This Row],[Valor CTE]]/DISTÂNCIA3[[#This Row],[KM PARA PAGAMENTO DOS FRETES]]</f>
        <v>9.024285714285714</v>
      </c>
      <c r="K464" s="6">
        <f t="shared" si="18"/>
        <v>290.58</v>
      </c>
      <c r="L464" s="6">
        <f>0.92*DISTÂNCIA3[[#This Row],[KM distancia]]*4.578</f>
        <v>88.446960000000004</v>
      </c>
      <c r="M464" s="6">
        <f t="shared" si="19"/>
        <v>379.02</v>
      </c>
    </row>
    <row r="465" spans="1:13" hidden="1" x14ac:dyDescent="0.35">
      <c r="A465">
        <f>'DASE DADOS - DISTANCIA'!A465</f>
        <v>0</v>
      </c>
      <c r="B465" t="str">
        <f>'DASE DADOS - DISTANCIA'!B465</f>
        <v>LEANDRA DEITOS</v>
      </c>
      <c r="C465" t="str">
        <f>'DASE DADOS - DISTANCIA'!C465</f>
        <v xml:space="preserve"> A2</v>
      </c>
      <c r="D465" t="str">
        <f>'DASE DADOS - DISTANCIA'!E465</f>
        <v>CORBELIA</v>
      </c>
      <c r="E465" t="str">
        <f>'DASE DADOS - DISTANCIA'!I465</f>
        <v>PLUMA</v>
      </c>
      <c r="F465" s="7">
        <v>38</v>
      </c>
      <c r="G465">
        <f>'DASE DADOS - DISTANCIA'!J465</f>
        <v>76</v>
      </c>
      <c r="H465" s="2">
        <v>420</v>
      </c>
      <c r="I465" s="2" t="e">
        <f>IF(#REF!&lt;17200,DISTÂNCIA3[[#This Row],[KM PARA PAGAMENTO DOS FRETES]]*4.74,((#REF!/17200)*4.74)*DISTÂNCIA3[[#This Row],[KM PARA PAGAMENTO DOS FRETES]])</f>
        <v>#REF!</v>
      </c>
      <c r="J465" s="4">
        <f>DISTÂNCIA3[[#This Row],[Valor CTE]]/DISTÂNCIA3[[#This Row],[KM PARA PAGAMENTO DOS FRETES]]</f>
        <v>6.9532894736842108</v>
      </c>
      <c r="K465" s="6">
        <f t="shared" si="18"/>
        <v>368.4</v>
      </c>
      <c r="L465" s="6">
        <f>0.92*DISTÂNCIA3[[#This Row],[KM distancia]]*4.578</f>
        <v>160.04688000000002</v>
      </c>
      <c r="M465" s="6">
        <f t="shared" si="19"/>
        <v>528.45000000000005</v>
      </c>
    </row>
    <row r="466" spans="1:13" hidden="1" x14ac:dyDescent="0.35">
      <c r="A466">
        <f>'DASE DADOS - DISTANCIA'!A466</f>
        <v>0</v>
      </c>
      <c r="B466" t="str">
        <f>'DASE DADOS - DISTANCIA'!B466</f>
        <v>LEANDRA DEITOS</v>
      </c>
      <c r="C466" t="str">
        <f>'DASE DADOS - DISTANCIA'!C466</f>
        <v xml:space="preserve"> A1</v>
      </c>
      <c r="D466" t="str">
        <f>'DASE DADOS - DISTANCIA'!E466</f>
        <v>CORBELIA</v>
      </c>
      <c r="E466" t="str">
        <f>'DASE DADOS - DISTANCIA'!I466</f>
        <v>PLUMA</v>
      </c>
      <c r="F466" s="7">
        <v>38</v>
      </c>
      <c r="G466">
        <f>'DASE DADOS - DISTANCIA'!J466</f>
        <v>76</v>
      </c>
      <c r="H466" s="2">
        <v>420</v>
      </c>
      <c r="I466" s="2" t="e">
        <f>IF(#REF!&lt;17200,DISTÂNCIA3[[#This Row],[KM PARA PAGAMENTO DOS FRETES]]*4.74,((#REF!/17200)*4.74)*DISTÂNCIA3[[#This Row],[KM PARA PAGAMENTO DOS FRETES]])</f>
        <v>#REF!</v>
      </c>
      <c r="J466" s="4">
        <f>DISTÂNCIA3[[#This Row],[Valor CTE]]/DISTÂNCIA3[[#This Row],[KM PARA PAGAMENTO DOS FRETES]]</f>
        <v>6.9532894736842108</v>
      </c>
      <c r="K466" s="6">
        <f t="shared" si="18"/>
        <v>368.4</v>
      </c>
      <c r="L466" s="6">
        <f>0.92*DISTÂNCIA3[[#This Row],[KM distancia]]*4.578</f>
        <v>160.04688000000002</v>
      </c>
      <c r="M466" s="6">
        <f t="shared" si="19"/>
        <v>528.45000000000005</v>
      </c>
    </row>
    <row r="467" spans="1:13" hidden="1" x14ac:dyDescent="0.35">
      <c r="A467">
        <f>'DASE DADOS - DISTANCIA'!A467</f>
        <v>5403715</v>
      </c>
      <c r="B467" t="str">
        <f>'DASE DADOS - DISTANCIA'!B467</f>
        <v>MARCIO FABRIS</v>
      </c>
      <c r="C467" t="str">
        <f>'DASE DADOS - DISTANCIA'!C467</f>
        <v xml:space="preserve"> A1</v>
      </c>
      <c r="D467" t="str">
        <f>'DASE DADOS - DISTANCIA'!E467</f>
        <v>TOLEDO</v>
      </c>
      <c r="E467" t="str">
        <f>'DASE DADOS - DISTANCIA'!I467</f>
        <v>PLUMA</v>
      </c>
      <c r="F467" s="7">
        <v>71</v>
      </c>
      <c r="G467">
        <f>'DASE DADOS - DISTANCIA'!J467</f>
        <v>142</v>
      </c>
      <c r="H467" s="2">
        <v>420</v>
      </c>
      <c r="I467" s="2" t="e">
        <f>IF(#REF!&lt;17200,DISTÂNCIA3[[#This Row],[KM PARA PAGAMENTO DOS FRETES]]*4.74,((#REF!/17200)*4.74)*DISTÂNCIA3[[#This Row],[KM PARA PAGAMENTO DOS FRETES]])</f>
        <v>#REF!</v>
      </c>
      <c r="J467" s="4">
        <f>DISTÂNCIA3[[#This Row],[Valor CTE]]/DISTÂNCIA3[[#This Row],[KM PARA PAGAMENTO DOS FRETES]]</f>
        <v>5.7641549295774643</v>
      </c>
      <c r="K467" s="6">
        <f t="shared" si="18"/>
        <v>519.48</v>
      </c>
      <c r="L467" s="6">
        <f>0.92*DISTÂNCIA3[[#This Row],[KM distancia]]*4.578</f>
        <v>299.03496000000007</v>
      </c>
      <c r="M467" s="6">
        <f t="shared" si="19"/>
        <v>818.51</v>
      </c>
    </row>
    <row r="468" spans="1:13" hidden="1" x14ac:dyDescent="0.35">
      <c r="A468">
        <f>'DASE DADOS - DISTANCIA'!A468</f>
        <v>0</v>
      </c>
      <c r="B468" t="str">
        <f>'DASE DADOS - DISTANCIA'!B468</f>
        <v>LEONIR ANTONIO PETRACH</v>
      </c>
      <c r="C468" t="str">
        <f>'DASE DADOS - DISTANCIA'!C468</f>
        <v xml:space="preserve"> A1</v>
      </c>
      <c r="D468" t="str">
        <f>'DASE DADOS - DISTANCIA'!E468</f>
        <v>CASCAVEL</v>
      </c>
      <c r="E468" t="str">
        <f>'DASE DADOS - DISTANCIA'!I468</f>
        <v>PLUMA</v>
      </c>
      <c r="F468" s="7">
        <v>24</v>
      </c>
      <c r="G468">
        <f>'DASE DADOS - DISTANCIA'!J468</f>
        <v>48</v>
      </c>
      <c r="H468" s="2">
        <v>420</v>
      </c>
      <c r="I468" s="2" t="e">
        <f>IF(#REF!&lt;17200,DISTÂNCIA3[[#This Row],[KM PARA PAGAMENTO DOS FRETES]]*4.74,((#REF!/17200)*4.74)*DISTÂNCIA3[[#This Row],[KM PARA PAGAMENTO DOS FRETES]])</f>
        <v>#REF!</v>
      </c>
      <c r="J468" s="4">
        <f>DISTÂNCIA3[[#This Row],[Valor CTE]]/DISTÂNCIA3[[#This Row],[KM PARA PAGAMENTO DOS FRETES]]</f>
        <v>8.4456249999999997</v>
      </c>
      <c r="K468" s="6">
        <f t="shared" si="18"/>
        <v>304.31</v>
      </c>
      <c r="L468" s="6">
        <f>0.92*DISTÂNCIA3[[#This Row],[KM distancia]]*4.578</f>
        <v>101.08224000000001</v>
      </c>
      <c r="M468" s="6">
        <f t="shared" si="19"/>
        <v>405.39</v>
      </c>
    </row>
    <row r="469" spans="1:13" hidden="1" x14ac:dyDescent="0.35">
      <c r="A469">
        <f>'DASE DADOS - DISTANCIA'!A469</f>
        <v>6143725</v>
      </c>
      <c r="B469" t="str">
        <f>'DASE DADOS - DISTANCIA'!B469</f>
        <v>MARCOS AURELIO BACH</v>
      </c>
      <c r="C469" t="str">
        <f>'DASE DADOS - DISTANCIA'!C469</f>
        <v xml:space="preserve"> A2</v>
      </c>
      <c r="D469" t="str">
        <f>'DASE DADOS - DISTANCIA'!E469</f>
        <v>TOLEDO</v>
      </c>
      <c r="E469" t="str">
        <f>'DASE DADOS - DISTANCIA'!I469</f>
        <v>PLUMA</v>
      </c>
      <c r="F469" s="7">
        <v>50</v>
      </c>
      <c r="G469">
        <f>'DASE DADOS - DISTANCIA'!J469</f>
        <v>100</v>
      </c>
      <c r="H469" s="2">
        <v>420</v>
      </c>
      <c r="I469" s="2" t="e">
        <f>IF(#REF!&lt;17200,DISTÂNCIA3[[#This Row],[KM PARA PAGAMENTO DOS FRETES]]*4.74,((#REF!/17200)*4.74)*DISTÂNCIA3[[#This Row],[KM PARA PAGAMENTO DOS FRETES]])</f>
        <v>#REF!</v>
      </c>
      <c r="J469" s="4">
        <f>DISTÂNCIA3[[#This Row],[Valor CTE]]/DISTÂNCIA3[[#This Row],[KM PARA PAGAMENTO DOS FRETES]]</f>
        <v>6.3392999999999997</v>
      </c>
      <c r="K469" s="6">
        <f t="shared" si="18"/>
        <v>423.34</v>
      </c>
      <c r="L469" s="6">
        <f>0.92*DISTÂNCIA3[[#This Row],[KM distancia]]*4.578</f>
        <v>210.58800000000002</v>
      </c>
      <c r="M469" s="6">
        <f t="shared" si="19"/>
        <v>633.92999999999995</v>
      </c>
    </row>
    <row r="470" spans="1:13" hidden="1" x14ac:dyDescent="0.35">
      <c r="A470">
        <f>'DASE DADOS - DISTANCIA'!A470</f>
        <v>6143725</v>
      </c>
      <c r="B470" t="str">
        <f>'DASE DADOS - DISTANCIA'!B470</f>
        <v>MARCOS AURELIO BACH</v>
      </c>
      <c r="C470" t="str">
        <f>'DASE DADOS - DISTANCIA'!C470</f>
        <v xml:space="preserve"> A1</v>
      </c>
      <c r="D470" t="str">
        <f>'DASE DADOS - DISTANCIA'!E470</f>
        <v>TOLEDO</v>
      </c>
      <c r="E470" t="str">
        <f>'DASE DADOS - DISTANCIA'!I470</f>
        <v>PLUMA</v>
      </c>
      <c r="F470" s="7">
        <v>50</v>
      </c>
      <c r="G470">
        <f>'DASE DADOS - DISTANCIA'!J470</f>
        <v>100</v>
      </c>
      <c r="H470" s="2">
        <v>420</v>
      </c>
      <c r="I470" s="2" t="e">
        <f>IF(#REF!&lt;17200,DISTÂNCIA3[[#This Row],[KM PARA PAGAMENTO DOS FRETES]]*4.74,((#REF!/17200)*4.74)*DISTÂNCIA3[[#This Row],[KM PARA PAGAMENTO DOS FRETES]])</f>
        <v>#REF!</v>
      </c>
      <c r="J470" s="4">
        <f>DISTÂNCIA3[[#This Row],[Valor CTE]]/DISTÂNCIA3[[#This Row],[KM PARA PAGAMENTO DOS FRETES]]</f>
        <v>6.3392999999999997</v>
      </c>
      <c r="K470" s="6">
        <f t="shared" si="18"/>
        <v>423.34</v>
      </c>
      <c r="L470" s="6">
        <f>0.92*DISTÂNCIA3[[#This Row],[KM distancia]]*4.578</f>
        <v>210.58800000000002</v>
      </c>
      <c r="M470" s="6">
        <f t="shared" si="19"/>
        <v>633.92999999999995</v>
      </c>
    </row>
    <row r="471" spans="1:13" hidden="1" x14ac:dyDescent="0.35">
      <c r="A471">
        <f>'DASE DADOS - DISTANCIA'!A471</f>
        <v>5925908</v>
      </c>
      <c r="B471" t="str">
        <f>'DASE DADOS - DISTANCIA'!B471</f>
        <v>MARIA TEREZA NEIA BRIXNER</v>
      </c>
      <c r="C471" t="str">
        <f>'DASE DADOS - DISTANCIA'!C471</f>
        <v xml:space="preserve"> A3</v>
      </c>
      <c r="D471" t="str">
        <f>'DASE DADOS - DISTANCIA'!E471</f>
        <v>TOLEDO</v>
      </c>
      <c r="E471" t="str">
        <f>'DASE DADOS - DISTANCIA'!I471</f>
        <v>PLUMA</v>
      </c>
      <c r="F471" s="7">
        <v>61</v>
      </c>
      <c r="G471">
        <f>'DASE DADOS - DISTANCIA'!J471</f>
        <v>122</v>
      </c>
      <c r="H471" s="2">
        <v>420</v>
      </c>
      <c r="I471" s="2" t="e">
        <f>IF(#REF!&lt;17200,DISTÂNCIA3[[#This Row],[KM PARA PAGAMENTO DOS FRETES]]*4.74,((#REF!/17200)*4.74)*DISTÂNCIA3[[#This Row],[KM PARA PAGAMENTO DOS FRETES]])</f>
        <v>#REF!</v>
      </c>
      <c r="J471" s="4">
        <f>DISTÂNCIA3[[#This Row],[Valor CTE]]/DISTÂNCIA3[[#This Row],[KM PARA PAGAMENTO DOS FRETES]]</f>
        <v>5.988688524590164</v>
      </c>
      <c r="K471" s="6">
        <f t="shared" si="18"/>
        <v>473.7</v>
      </c>
      <c r="L471" s="6">
        <f>0.92*DISTÂNCIA3[[#This Row],[KM distancia]]*4.578</f>
        <v>256.91736000000003</v>
      </c>
      <c r="M471" s="6">
        <f t="shared" si="19"/>
        <v>730.62</v>
      </c>
    </row>
    <row r="472" spans="1:13" hidden="1" x14ac:dyDescent="0.35">
      <c r="A472">
        <f>'DASE DADOS - DISTANCIA'!A472</f>
        <v>5925908</v>
      </c>
      <c r="B472" t="str">
        <f>'DASE DADOS - DISTANCIA'!B472</f>
        <v>MARIA TEREZA NEIA BRIXNER</v>
      </c>
      <c r="C472" t="str">
        <f>'DASE DADOS - DISTANCIA'!C472</f>
        <v xml:space="preserve"> A2</v>
      </c>
      <c r="D472" t="str">
        <f>'DASE DADOS - DISTANCIA'!E472</f>
        <v>TOLEDO</v>
      </c>
      <c r="E472" t="str">
        <f>'DASE DADOS - DISTANCIA'!I472</f>
        <v>PLUMA</v>
      </c>
      <c r="F472" s="7">
        <v>61</v>
      </c>
      <c r="G472">
        <f>'DASE DADOS - DISTANCIA'!J472</f>
        <v>122</v>
      </c>
      <c r="H472" s="2">
        <v>420</v>
      </c>
      <c r="I472" s="2" t="e">
        <f>IF(#REF!&lt;17200,DISTÂNCIA3[[#This Row],[KM PARA PAGAMENTO DOS FRETES]]*4.74,((#REF!/17200)*4.74)*DISTÂNCIA3[[#This Row],[KM PARA PAGAMENTO DOS FRETES]])</f>
        <v>#REF!</v>
      </c>
      <c r="J472" s="4">
        <f>DISTÂNCIA3[[#This Row],[Valor CTE]]/DISTÂNCIA3[[#This Row],[KM PARA PAGAMENTO DOS FRETES]]</f>
        <v>5.988688524590164</v>
      </c>
      <c r="K472" s="6">
        <f t="shared" si="18"/>
        <v>473.7</v>
      </c>
      <c r="L472" s="6">
        <f>0.92*DISTÂNCIA3[[#This Row],[KM distancia]]*4.578</f>
        <v>256.91736000000003</v>
      </c>
      <c r="M472" s="6">
        <f t="shared" si="19"/>
        <v>730.62</v>
      </c>
    </row>
    <row r="473" spans="1:13" hidden="1" x14ac:dyDescent="0.35">
      <c r="A473">
        <f>'DASE DADOS - DISTANCIA'!A473</f>
        <v>5925908</v>
      </c>
      <c r="B473" t="str">
        <f>'DASE DADOS - DISTANCIA'!B473</f>
        <v>MARIA TEREZA NEIA BRIXNER</v>
      </c>
      <c r="C473" t="str">
        <f>'DASE DADOS - DISTANCIA'!C473</f>
        <v xml:space="preserve"> A1</v>
      </c>
      <c r="D473" t="str">
        <f>'DASE DADOS - DISTANCIA'!E473</f>
        <v>TOLEDO</v>
      </c>
      <c r="E473" t="str">
        <f>'DASE DADOS - DISTANCIA'!I473</f>
        <v>PLUMA</v>
      </c>
      <c r="F473" s="7">
        <v>61</v>
      </c>
      <c r="G473">
        <f>'DASE DADOS - DISTANCIA'!J473</f>
        <v>122</v>
      </c>
      <c r="H473" s="2">
        <v>420</v>
      </c>
      <c r="I473" s="2" t="e">
        <f>IF(#REF!&lt;17200,DISTÂNCIA3[[#This Row],[KM PARA PAGAMENTO DOS FRETES]]*4.74,((#REF!/17200)*4.74)*DISTÂNCIA3[[#This Row],[KM PARA PAGAMENTO DOS FRETES]])</f>
        <v>#REF!</v>
      </c>
      <c r="J473" s="4">
        <f>DISTÂNCIA3[[#This Row],[Valor CTE]]/DISTÂNCIA3[[#This Row],[KM PARA PAGAMENTO DOS FRETES]]</f>
        <v>5.988688524590164</v>
      </c>
      <c r="K473" s="6">
        <f t="shared" si="18"/>
        <v>473.7</v>
      </c>
      <c r="L473" s="6">
        <f>0.92*DISTÂNCIA3[[#This Row],[KM distancia]]*4.578</f>
        <v>256.91736000000003</v>
      </c>
      <c r="M473" s="6">
        <f t="shared" si="19"/>
        <v>730.62</v>
      </c>
    </row>
    <row r="474" spans="1:13" hidden="1" x14ac:dyDescent="0.35">
      <c r="A474">
        <f>'DASE DADOS - DISTANCIA'!A474</f>
        <v>6074928</v>
      </c>
      <c r="B474" t="str">
        <f>'DASE DADOS - DISTANCIA'!B474</f>
        <v>MARISETE MARIA SCHWENDLER FANIN</v>
      </c>
      <c r="C474" t="str">
        <f>'DASE DADOS - DISTANCIA'!C474</f>
        <v xml:space="preserve"> A4</v>
      </c>
      <c r="D474" t="str">
        <f>'DASE DADOS - DISTANCIA'!E474</f>
        <v>VERA CRUZ DO OESTE</v>
      </c>
      <c r="E474" t="str">
        <f>'DASE DADOS - DISTANCIA'!I474</f>
        <v>PLUMA</v>
      </c>
      <c r="F474" s="7">
        <v>54</v>
      </c>
      <c r="G474">
        <f>'DASE DADOS - DISTANCIA'!J474</f>
        <v>108</v>
      </c>
      <c r="H474" s="2">
        <v>420</v>
      </c>
      <c r="I474" s="2" t="e">
        <f>IF(#REF!&lt;17200,DISTÂNCIA3[[#This Row],[KM PARA PAGAMENTO DOS FRETES]]*4.74,((#REF!/17200)*4.74)*DISTÂNCIA3[[#This Row],[KM PARA PAGAMENTO DOS FRETES]])</f>
        <v>#REF!</v>
      </c>
      <c r="J474" s="4">
        <f>DISTÂNCIA3[[#This Row],[Valor CTE]]/DISTÂNCIA3[[#This Row],[KM PARA PAGAMENTO DOS FRETES]]</f>
        <v>6.1952777777777781</v>
      </c>
      <c r="K474" s="6">
        <f t="shared" si="18"/>
        <v>441.65</v>
      </c>
      <c r="L474" s="6">
        <f>0.92*DISTÂNCIA3[[#This Row],[KM distancia]]*4.578</f>
        <v>227.43504000000001</v>
      </c>
      <c r="M474" s="6">
        <f t="shared" si="19"/>
        <v>669.09</v>
      </c>
    </row>
    <row r="475" spans="1:13" hidden="1" x14ac:dyDescent="0.35">
      <c r="A475">
        <f>'DASE DADOS - DISTANCIA'!A475</f>
        <v>6074928</v>
      </c>
      <c r="B475" t="str">
        <f>'DASE DADOS - DISTANCIA'!B475</f>
        <v>MARISETE MARIA SCHWENDLER FANIN</v>
      </c>
      <c r="C475" t="str">
        <f>'DASE DADOS - DISTANCIA'!C475</f>
        <v xml:space="preserve"> A3</v>
      </c>
      <c r="D475" t="str">
        <f>'DASE DADOS - DISTANCIA'!E475</f>
        <v>VERA CRUZ DO OESTE</v>
      </c>
      <c r="E475" t="str">
        <f>'DASE DADOS - DISTANCIA'!I475</f>
        <v>PLUMA</v>
      </c>
      <c r="F475" s="7">
        <v>54</v>
      </c>
      <c r="G475">
        <f>'DASE DADOS - DISTANCIA'!J475</f>
        <v>108</v>
      </c>
      <c r="H475" s="2">
        <v>420</v>
      </c>
      <c r="I475" s="2" t="e">
        <f>IF(#REF!&lt;17200,DISTÂNCIA3[[#This Row],[KM PARA PAGAMENTO DOS FRETES]]*4.74,((#REF!/17200)*4.74)*DISTÂNCIA3[[#This Row],[KM PARA PAGAMENTO DOS FRETES]])</f>
        <v>#REF!</v>
      </c>
      <c r="J475" s="4">
        <f>DISTÂNCIA3[[#This Row],[Valor CTE]]/DISTÂNCIA3[[#This Row],[KM PARA PAGAMENTO DOS FRETES]]</f>
        <v>6.1952777777777781</v>
      </c>
      <c r="K475" s="6">
        <f t="shared" si="18"/>
        <v>441.65</v>
      </c>
      <c r="L475" s="6">
        <f>0.92*DISTÂNCIA3[[#This Row],[KM distancia]]*4.578</f>
        <v>227.43504000000001</v>
      </c>
      <c r="M475" s="6">
        <f t="shared" si="19"/>
        <v>669.09</v>
      </c>
    </row>
    <row r="476" spans="1:13" hidden="1" x14ac:dyDescent="0.35">
      <c r="A476">
        <f>'DASE DADOS - DISTANCIA'!A476</f>
        <v>6074928</v>
      </c>
      <c r="B476" t="str">
        <f>'DASE DADOS - DISTANCIA'!B476</f>
        <v>MARISETE MARIA SCHWENDLER FANIN</v>
      </c>
      <c r="C476" t="str">
        <f>'DASE DADOS - DISTANCIA'!C476</f>
        <v xml:space="preserve"> A2</v>
      </c>
      <c r="D476" t="str">
        <f>'DASE DADOS - DISTANCIA'!E476</f>
        <v>VERA CRUZ DO OESTE</v>
      </c>
      <c r="E476" t="str">
        <f>'DASE DADOS - DISTANCIA'!I476</f>
        <v>PLUMA</v>
      </c>
      <c r="F476" s="7">
        <v>54</v>
      </c>
      <c r="G476">
        <f>'DASE DADOS - DISTANCIA'!J476</f>
        <v>108</v>
      </c>
      <c r="H476" s="2">
        <v>420</v>
      </c>
      <c r="I476" s="2" t="e">
        <f>IF(#REF!&lt;17200,DISTÂNCIA3[[#This Row],[KM PARA PAGAMENTO DOS FRETES]]*4.74,((#REF!/17200)*4.74)*DISTÂNCIA3[[#This Row],[KM PARA PAGAMENTO DOS FRETES]])</f>
        <v>#REF!</v>
      </c>
      <c r="J476" s="4">
        <f>DISTÂNCIA3[[#This Row],[Valor CTE]]/DISTÂNCIA3[[#This Row],[KM PARA PAGAMENTO DOS FRETES]]</f>
        <v>6.1952777777777781</v>
      </c>
      <c r="K476" s="6">
        <f t="shared" si="18"/>
        <v>441.65</v>
      </c>
      <c r="L476" s="6">
        <f>0.92*DISTÂNCIA3[[#This Row],[KM distancia]]*4.578</f>
        <v>227.43504000000001</v>
      </c>
      <c r="M476" s="6">
        <f t="shared" si="19"/>
        <v>669.09</v>
      </c>
    </row>
    <row r="477" spans="1:13" hidden="1" x14ac:dyDescent="0.35">
      <c r="A477">
        <f>'DASE DADOS - DISTANCIA'!A477</f>
        <v>6074928</v>
      </c>
      <c r="B477" t="str">
        <f>'DASE DADOS - DISTANCIA'!B477</f>
        <v>MARISETE MARIA SCHWENDLER FANIN</v>
      </c>
      <c r="C477" t="str">
        <f>'DASE DADOS - DISTANCIA'!C477</f>
        <v xml:space="preserve"> A1</v>
      </c>
      <c r="D477" t="str">
        <f>'DASE DADOS - DISTANCIA'!E477</f>
        <v>VERA CRUZ DO OESTE</v>
      </c>
      <c r="E477" t="str">
        <f>'DASE DADOS - DISTANCIA'!I477</f>
        <v>PLUMA</v>
      </c>
      <c r="F477" s="7">
        <v>54</v>
      </c>
      <c r="G477">
        <f>'DASE DADOS - DISTANCIA'!J477</f>
        <v>108</v>
      </c>
      <c r="H477" s="2">
        <v>420</v>
      </c>
      <c r="I477" s="2" t="e">
        <f>IF(#REF!&lt;17200,DISTÂNCIA3[[#This Row],[KM PARA PAGAMENTO DOS FRETES]]*4.74,((#REF!/17200)*4.74)*DISTÂNCIA3[[#This Row],[KM PARA PAGAMENTO DOS FRETES]])</f>
        <v>#REF!</v>
      </c>
      <c r="J477" s="4">
        <f>DISTÂNCIA3[[#This Row],[Valor CTE]]/DISTÂNCIA3[[#This Row],[KM PARA PAGAMENTO DOS FRETES]]</f>
        <v>6.1952777777777781</v>
      </c>
      <c r="K477" s="6">
        <f t="shared" si="18"/>
        <v>441.65</v>
      </c>
      <c r="L477" s="6">
        <f>0.92*DISTÂNCIA3[[#This Row],[KM distancia]]*4.578</f>
        <v>227.43504000000001</v>
      </c>
      <c r="M477" s="6">
        <f t="shared" si="19"/>
        <v>669.09</v>
      </c>
    </row>
    <row r="478" spans="1:13" hidden="1" x14ac:dyDescent="0.35">
      <c r="A478">
        <f>'DASE DADOS - DISTANCIA'!A478</f>
        <v>30222</v>
      </c>
      <c r="B478" t="str">
        <f>'DASE DADOS - DISTANCIA'!B478</f>
        <v>MARLIZE BERNARDINA WEISHEIMER GUERRA</v>
      </c>
      <c r="C478" t="str">
        <f>'DASE DADOS - DISTANCIA'!C478</f>
        <v xml:space="preserve"> A2</v>
      </c>
      <c r="D478" t="str">
        <f>'DASE DADOS - DISTANCIA'!E478</f>
        <v>CAPANEMA</v>
      </c>
      <c r="E478" t="str">
        <f>'DASE DADOS - DISTANCIA'!I478</f>
        <v>PLUSVAL</v>
      </c>
      <c r="F478" s="7">
        <v>105</v>
      </c>
      <c r="G478">
        <f>'DASE DADOS - DISTANCIA'!J478</f>
        <v>210</v>
      </c>
      <c r="H478" s="2">
        <v>420</v>
      </c>
      <c r="I478" s="2" t="e">
        <f>IF(#REF!&lt;17200,DISTÂNCIA3[[#This Row],[KM PARA PAGAMENTO DOS FRETES]]*4.74,((#REF!/17200)*4.74)*DISTÂNCIA3[[#This Row],[KM PARA PAGAMENTO DOS FRETES]])</f>
        <v>#REF!</v>
      </c>
      <c r="J478" s="4">
        <f>DISTÂNCIA3[[#This Row],[Valor CTE]]/DISTÂNCIA3[[#This Row],[KM PARA PAGAMENTO DOS FRETES]]</f>
        <v>5.3207619047619046</v>
      </c>
      <c r="K478" s="6">
        <f t="shared" si="18"/>
        <v>675.13</v>
      </c>
      <c r="L478" s="6">
        <f>0.92*DISTÂNCIA3[[#This Row],[KM distancia]]*4.578</f>
        <v>442.23480000000006</v>
      </c>
      <c r="M478" s="6">
        <f t="shared" si="19"/>
        <v>1117.3599999999999</v>
      </c>
    </row>
    <row r="479" spans="1:13" hidden="1" x14ac:dyDescent="0.35">
      <c r="A479">
        <f>'DASE DADOS - DISTANCIA'!A479</f>
        <v>30222</v>
      </c>
      <c r="B479" t="str">
        <f>'DASE DADOS - DISTANCIA'!B479</f>
        <v>MARLIZE BERNARDINA WEISHEIMER GUERRA</v>
      </c>
      <c r="C479" t="str">
        <f>'DASE DADOS - DISTANCIA'!C479</f>
        <v xml:space="preserve"> A1</v>
      </c>
      <c r="D479" t="str">
        <f>'DASE DADOS - DISTANCIA'!E479</f>
        <v>CAPANEMA</v>
      </c>
      <c r="E479" t="str">
        <f>'DASE DADOS - DISTANCIA'!I479</f>
        <v>PLUSVAL</v>
      </c>
      <c r="F479" s="7">
        <v>105</v>
      </c>
      <c r="G479">
        <f>'DASE DADOS - DISTANCIA'!J479</f>
        <v>210</v>
      </c>
      <c r="H479" s="2">
        <v>420</v>
      </c>
      <c r="I479" s="2" t="e">
        <f>IF(#REF!&lt;17200,DISTÂNCIA3[[#This Row],[KM PARA PAGAMENTO DOS FRETES]]*4.74,((#REF!/17200)*4.74)*DISTÂNCIA3[[#This Row],[KM PARA PAGAMENTO DOS FRETES]])</f>
        <v>#REF!</v>
      </c>
      <c r="J479" s="4">
        <f>DISTÂNCIA3[[#This Row],[Valor CTE]]/DISTÂNCIA3[[#This Row],[KM PARA PAGAMENTO DOS FRETES]]</f>
        <v>5.3207619047619046</v>
      </c>
      <c r="K479" s="6">
        <f t="shared" si="18"/>
        <v>675.13</v>
      </c>
      <c r="L479" s="6">
        <f>0.92*DISTÂNCIA3[[#This Row],[KM distancia]]*4.578</f>
        <v>442.23480000000006</v>
      </c>
      <c r="M479" s="6">
        <f t="shared" si="19"/>
        <v>1117.3599999999999</v>
      </c>
    </row>
    <row r="480" spans="1:13" hidden="1" x14ac:dyDescent="0.35">
      <c r="A480">
        <f>'DASE DADOS - DISTANCIA'!A480</f>
        <v>0</v>
      </c>
      <c r="B480" t="str">
        <f>'DASE DADOS - DISTANCIA'!B480</f>
        <v>LUCIO RAMBO</v>
      </c>
      <c r="C480" t="str">
        <f>'DASE DADOS - DISTANCIA'!C480</f>
        <v xml:space="preserve"> A1</v>
      </c>
      <c r="D480" t="str">
        <f>'DASE DADOS - DISTANCIA'!E480</f>
        <v>TOLEDO</v>
      </c>
      <c r="E480" t="str">
        <f>'DASE DADOS - DISTANCIA'!I480</f>
        <v>PLUMA</v>
      </c>
      <c r="F480" s="7">
        <v>69.5</v>
      </c>
      <c r="G480">
        <f>'DASE DADOS - DISTANCIA'!J480</f>
        <v>139</v>
      </c>
      <c r="H480" s="2">
        <v>420</v>
      </c>
      <c r="I480" s="2" t="e">
        <f>IF(#REF!&lt;17200,DISTÂNCIA3[[#This Row],[KM PARA PAGAMENTO DOS FRETES]]*4.74,((#REF!/17200)*4.74)*DISTÂNCIA3[[#This Row],[KM PARA PAGAMENTO DOS FRETES]])</f>
        <v>#REF!</v>
      </c>
      <c r="J480" s="4">
        <f>DISTÂNCIA3[[#This Row],[Valor CTE]]/DISTÂNCIA3[[#This Row],[KM PARA PAGAMENTO DOS FRETES]]</f>
        <v>5.793741007194245</v>
      </c>
      <c r="K480" s="6">
        <f t="shared" si="18"/>
        <v>512.61</v>
      </c>
      <c r="L480" s="6">
        <f>0.92*DISTÂNCIA3[[#This Row],[KM distancia]]*4.578</f>
        <v>292.71732000000003</v>
      </c>
      <c r="M480" s="6">
        <f t="shared" si="19"/>
        <v>805.33</v>
      </c>
    </row>
    <row r="481" spans="1:13" hidden="1" x14ac:dyDescent="0.35">
      <c r="A481">
        <f>'DASE DADOS - DISTANCIA'!A481</f>
        <v>0</v>
      </c>
      <c r="B481" t="str">
        <f>'DASE DADOS - DISTANCIA'!B481</f>
        <v>LUCIO RAMBO</v>
      </c>
      <c r="C481" t="str">
        <f>'DASE DADOS - DISTANCIA'!C481</f>
        <v xml:space="preserve"> A2</v>
      </c>
      <c r="D481" t="str">
        <f>'DASE DADOS - DISTANCIA'!E481</f>
        <v>TOLEDO</v>
      </c>
      <c r="E481" t="str">
        <f>'DASE DADOS - DISTANCIA'!I481</f>
        <v>PLUMA</v>
      </c>
      <c r="F481" s="7">
        <v>69.5</v>
      </c>
      <c r="G481">
        <f>'DASE DADOS - DISTANCIA'!J481</f>
        <v>139</v>
      </c>
      <c r="H481" s="2">
        <v>420</v>
      </c>
      <c r="I481" s="2" t="e">
        <f>IF(#REF!&lt;17200,DISTÂNCIA3[[#This Row],[KM PARA PAGAMENTO DOS FRETES]]*4.74,((#REF!/17200)*4.74)*DISTÂNCIA3[[#This Row],[KM PARA PAGAMENTO DOS FRETES]])</f>
        <v>#REF!</v>
      </c>
      <c r="J481" s="4">
        <f>DISTÂNCIA3[[#This Row],[Valor CTE]]/DISTÂNCIA3[[#This Row],[KM PARA PAGAMENTO DOS FRETES]]</f>
        <v>5.793741007194245</v>
      </c>
      <c r="K481" s="6">
        <f t="shared" si="18"/>
        <v>512.61</v>
      </c>
      <c r="L481" s="6">
        <f>0.92*DISTÂNCIA3[[#This Row],[KM distancia]]*4.578</f>
        <v>292.71732000000003</v>
      </c>
      <c r="M481" s="6">
        <f t="shared" si="19"/>
        <v>805.33</v>
      </c>
    </row>
    <row r="482" spans="1:13" hidden="1" x14ac:dyDescent="0.35">
      <c r="A482">
        <f>'DASE DADOS - DISTANCIA'!A482</f>
        <v>29907</v>
      </c>
      <c r="B482" t="str">
        <f>'DASE DADOS - DISTANCIA'!B482</f>
        <v>MATEUS GUSTAVO SALVALAGGIO</v>
      </c>
      <c r="C482" t="str">
        <f>'DASE DADOS - DISTANCIA'!C482</f>
        <v xml:space="preserve"> A4</v>
      </c>
      <c r="D482" t="str">
        <f>'DASE DADOS - DISTANCIA'!E482</f>
        <v>CAPANEMA</v>
      </c>
      <c r="E482" t="str">
        <f>'DASE DADOS - DISTANCIA'!I482</f>
        <v>PLUSVAL</v>
      </c>
      <c r="F482" s="7">
        <v>120</v>
      </c>
      <c r="G482">
        <f>'DASE DADOS - DISTANCIA'!J482</f>
        <v>240</v>
      </c>
      <c r="H482" s="2">
        <v>420</v>
      </c>
      <c r="I482" s="2" t="e">
        <f>IF(#REF!&lt;17200,DISTÂNCIA3[[#This Row],[KM PARA PAGAMENTO DOS FRETES]]*4.74,((#REF!/17200)*4.74)*DISTÂNCIA3[[#This Row],[KM PARA PAGAMENTO DOS FRETES]])</f>
        <v>#REF!</v>
      </c>
      <c r="J482" s="4">
        <f>DISTÂNCIA3[[#This Row],[Valor CTE]]/DISTÂNCIA3[[#This Row],[KM PARA PAGAMENTO DOS FRETES]]</f>
        <v>5.2050416666666672</v>
      </c>
      <c r="K482" s="6">
        <f t="shared" si="18"/>
        <v>743.8</v>
      </c>
      <c r="L482" s="6">
        <f>0.92*DISTÂNCIA3[[#This Row],[KM distancia]]*4.578</f>
        <v>505.41120000000006</v>
      </c>
      <c r="M482" s="6">
        <f t="shared" si="19"/>
        <v>1249.21</v>
      </c>
    </row>
    <row r="483" spans="1:13" hidden="1" x14ac:dyDescent="0.35">
      <c r="A483">
        <f>'DASE DADOS - DISTANCIA'!A483</f>
        <v>6354475</v>
      </c>
      <c r="B483" t="str">
        <f>'DASE DADOS - DISTANCIA'!B483</f>
        <v>MATHEUS HENRIQUE BRIXNER</v>
      </c>
      <c r="C483" t="str">
        <f>'DASE DADOS - DISTANCIA'!C483</f>
        <v xml:space="preserve"> A1</v>
      </c>
      <c r="D483" t="str">
        <f>'DASE DADOS - DISTANCIA'!E483</f>
        <v>CORBELIA</v>
      </c>
      <c r="E483" t="str">
        <f>'DASE DADOS - DISTANCIA'!I483</f>
        <v>PLUMA</v>
      </c>
      <c r="F483" s="7">
        <v>38</v>
      </c>
      <c r="G483">
        <f>'DASE DADOS - DISTANCIA'!J483</f>
        <v>76</v>
      </c>
      <c r="H483" s="2">
        <v>420</v>
      </c>
      <c r="I483" s="2" t="e">
        <f>IF(#REF!&lt;17200,DISTÂNCIA3[[#This Row],[KM PARA PAGAMENTO DOS FRETES]]*4.74,((#REF!/17200)*4.74)*DISTÂNCIA3[[#This Row],[KM PARA PAGAMENTO DOS FRETES]])</f>
        <v>#REF!</v>
      </c>
      <c r="J483" s="4">
        <f>DISTÂNCIA3[[#This Row],[Valor CTE]]/DISTÂNCIA3[[#This Row],[KM PARA PAGAMENTO DOS FRETES]]</f>
        <v>6.9532894736842108</v>
      </c>
      <c r="K483" s="6">
        <f t="shared" si="18"/>
        <v>368.4</v>
      </c>
      <c r="L483" s="6">
        <f>0.92*DISTÂNCIA3[[#This Row],[KM distancia]]*4.578</f>
        <v>160.04688000000002</v>
      </c>
      <c r="M483" s="6">
        <f t="shared" si="19"/>
        <v>528.45000000000005</v>
      </c>
    </row>
    <row r="484" spans="1:13" hidden="1" x14ac:dyDescent="0.35">
      <c r="A484">
        <f>'DASE DADOS - DISTANCIA'!A484</f>
        <v>6354475</v>
      </c>
      <c r="B484" t="str">
        <f>'DASE DADOS - DISTANCIA'!B484</f>
        <v>MATHEUS HENRIQUE BRIXNER</v>
      </c>
      <c r="C484" t="str">
        <f>'DASE DADOS - DISTANCIA'!C484</f>
        <v xml:space="preserve"> A2</v>
      </c>
      <c r="D484" t="str">
        <f>'DASE DADOS - DISTANCIA'!E484</f>
        <v>CORBELIA</v>
      </c>
      <c r="E484" t="str">
        <f>'DASE DADOS - DISTANCIA'!I484</f>
        <v>PLUMA</v>
      </c>
      <c r="F484" s="7">
        <v>38</v>
      </c>
      <c r="G484">
        <f>'DASE DADOS - DISTANCIA'!J484</f>
        <v>76</v>
      </c>
      <c r="H484" s="2">
        <v>420</v>
      </c>
      <c r="I484" s="2" t="e">
        <f>IF(#REF!&lt;17200,DISTÂNCIA3[[#This Row],[KM PARA PAGAMENTO DOS FRETES]]*4.74,((#REF!/17200)*4.74)*DISTÂNCIA3[[#This Row],[KM PARA PAGAMENTO DOS FRETES]])</f>
        <v>#REF!</v>
      </c>
      <c r="J484" s="4">
        <f>DISTÂNCIA3[[#This Row],[Valor CTE]]/DISTÂNCIA3[[#This Row],[KM PARA PAGAMENTO DOS FRETES]]</f>
        <v>6.9532894736842108</v>
      </c>
      <c r="K484" s="6">
        <f t="shared" si="18"/>
        <v>368.4</v>
      </c>
      <c r="L484" s="6">
        <f>0.92*DISTÂNCIA3[[#This Row],[KM distancia]]*4.578</f>
        <v>160.04688000000002</v>
      </c>
      <c r="M484" s="6">
        <f t="shared" si="19"/>
        <v>528.45000000000005</v>
      </c>
    </row>
    <row r="485" spans="1:13" hidden="1" x14ac:dyDescent="0.35">
      <c r="A485">
        <f>'DASE DADOS - DISTANCIA'!A485</f>
        <v>0</v>
      </c>
      <c r="B485" t="str">
        <f>'DASE DADOS - DISTANCIA'!B485</f>
        <v>LUIS CARLOS LIBERALI</v>
      </c>
      <c r="C485" t="str">
        <f>'DASE DADOS - DISTANCIA'!C485</f>
        <v xml:space="preserve"> A2</v>
      </c>
      <c r="D485" t="str">
        <f>'DASE DADOS - DISTANCIA'!E485</f>
        <v>CASCAVEL</v>
      </c>
      <c r="E485" t="str">
        <f>'DASE DADOS - DISTANCIA'!I485</f>
        <v>PLUMA</v>
      </c>
      <c r="F485" s="7">
        <v>36</v>
      </c>
      <c r="G485">
        <f>'DASE DADOS - DISTANCIA'!J485</f>
        <v>72</v>
      </c>
      <c r="H485" s="2">
        <v>420</v>
      </c>
      <c r="I485" s="2" t="e">
        <f>IF(#REF!&lt;17200,DISTÂNCIA3[[#This Row],[KM PARA PAGAMENTO DOS FRETES]]*4.74,((#REF!/17200)*4.74)*DISTÂNCIA3[[#This Row],[KM PARA PAGAMENTO DOS FRETES]])</f>
        <v>#REF!</v>
      </c>
      <c r="J485" s="4">
        <f>DISTÂNCIA3[[#This Row],[Valor CTE]]/DISTÂNCIA3[[#This Row],[KM PARA PAGAMENTO DOS FRETES]]</f>
        <v>7.0954166666666669</v>
      </c>
      <c r="K485" s="6">
        <f t="shared" si="18"/>
        <v>359.25</v>
      </c>
      <c r="L485" s="6">
        <f>0.92*DISTÂNCIA3[[#This Row],[KM distancia]]*4.578</f>
        <v>151.62336000000002</v>
      </c>
      <c r="M485" s="6">
        <f t="shared" si="19"/>
        <v>510.87</v>
      </c>
    </row>
    <row r="486" spans="1:13" hidden="1" x14ac:dyDescent="0.35">
      <c r="A486">
        <f>'DASE DADOS - DISTANCIA'!A486</f>
        <v>0</v>
      </c>
      <c r="B486" t="str">
        <f>'DASE DADOS - DISTANCIA'!B486</f>
        <v>LUIS CARLOS LIBERALI</v>
      </c>
      <c r="C486" t="str">
        <f>'DASE DADOS - DISTANCIA'!C486</f>
        <v xml:space="preserve"> A1</v>
      </c>
      <c r="D486" t="str">
        <f>'DASE DADOS - DISTANCIA'!E486</f>
        <v>CASCAVEL</v>
      </c>
      <c r="E486" t="str">
        <f>'DASE DADOS - DISTANCIA'!I486</f>
        <v>PLUMA</v>
      </c>
      <c r="F486" s="7">
        <v>36</v>
      </c>
      <c r="G486">
        <f>'DASE DADOS - DISTANCIA'!J486</f>
        <v>72</v>
      </c>
      <c r="H486" s="2">
        <v>420</v>
      </c>
      <c r="I486" s="2" t="e">
        <f>IF(#REF!&lt;17200,DISTÂNCIA3[[#This Row],[KM PARA PAGAMENTO DOS FRETES]]*4.74,((#REF!/17200)*4.74)*DISTÂNCIA3[[#This Row],[KM PARA PAGAMENTO DOS FRETES]])</f>
        <v>#REF!</v>
      </c>
      <c r="J486" s="4">
        <f>DISTÂNCIA3[[#This Row],[Valor CTE]]/DISTÂNCIA3[[#This Row],[KM PARA PAGAMENTO DOS FRETES]]</f>
        <v>7.0954166666666669</v>
      </c>
      <c r="K486" s="6">
        <f t="shared" si="18"/>
        <v>359.25</v>
      </c>
      <c r="L486" s="6">
        <f>0.92*DISTÂNCIA3[[#This Row],[KM distancia]]*4.578</f>
        <v>151.62336000000002</v>
      </c>
      <c r="M486" s="6">
        <f t="shared" si="19"/>
        <v>510.87</v>
      </c>
    </row>
    <row r="487" spans="1:13" hidden="1" x14ac:dyDescent="0.35">
      <c r="A487">
        <f>'DASE DADOS - DISTANCIA'!A487</f>
        <v>0</v>
      </c>
      <c r="B487" t="str">
        <f>'DASE DADOS - DISTANCIA'!B487</f>
        <v>LUIS CARLOS LIBERALI</v>
      </c>
      <c r="C487" t="str">
        <f>'DASE DADOS - DISTANCIA'!C487</f>
        <v xml:space="preserve"> A3</v>
      </c>
      <c r="D487" t="str">
        <f>'DASE DADOS - DISTANCIA'!E487</f>
        <v>CASCAVEL</v>
      </c>
      <c r="E487" t="str">
        <f>'DASE DADOS - DISTANCIA'!I487</f>
        <v>PLUMA</v>
      </c>
      <c r="F487" s="7">
        <v>36</v>
      </c>
      <c r="G487">
        <f>'DASE DADOS - DISTANCIA'!J487</f>
        <v>72</v>
      </c>
      <c r="H487" s="2">
        <v>420</v>
      </c>
      <c r="I487" s="2" t="e">
        <f>IF(#REF!&lt;17200,DISTÂNCIA3[[#This Row],[KM PARA PAGAMENTO DOS FRETES]]*4.74,((#REF!/17200)*4.74)*DISTÂNCIA3[[#This Row],[KM PARA PAGAMENTO DOS FRETES]])</f>
        <v>#REF!</v>
      </c>
      <c r="J487" s="4">
        <f>DISTÂNCIA3[[#This Row],[Valor CTE]]/DISTÂNCIA3[[#This Row],[KM PARA PAGAMENTO DOS FRETES]]</f>
        <v>7.0954166666666669</v>
      </c>
      <c r="K487" s="6">
        <f t="shared" si="18"/>
        <v>359.25</v>
      </c>
      <c r="L487" s="6">
        <f>0.92*DISTÂNCIA3[[#This Row],[KM distancia]]*4.578</f>
        <v>151.62336000000002</v>
      </c>
      <c r="M487" s="6">
        <f t="shared" si="19"/>
        <v>510.87</v>
      </c>
    </row>
    <row r="488" spans="1:13" hidden="1" x14ac:dyDescent="0.35">
      <c r="A488">
        <f>'DASE DADOS - DISTANCIA'!A488</f>
        <v>5726271</v>
      </c>
      <c r="B488" t="str">
        <f>'DASE DADOS - DISTANCIA'!B488</f>
        <v>MELISSA LAUERMANN VIERO</v>
      </c>
      <c r="C488" t="str">
        <f>'DASE DADOS - DISTANCIA'!C488</f>
        <v xml:space="preserve"> A2</v>
      </c>
      <c r="D488" t="str">
        <f>'DASE DADOS - DISTANCIA'!E488</f>
        <v>CORBELIA</v>
      </c>
      <c r="E488" t="str">
        <f>'DASE DADOS - DISTANCIA'!I488</f>
        <v>PLUMA</v>
      </c>
      <c r="F488" s="7">
        <v>35</v>
      </c>
      <c r="G488">
        <f>'DASE DADOS - DISTANCIA'!J488</f>
        <v>70</v>
      </c>
      <c r="H488" s="2">
        <v>420</v>
      </c>
      <c r="I488" s="2" t="e">
        <f>IF(#REF!&lt;17200,DISTÂNCIA3[[#This Row],[KM PARA PAGAMENTO DOS FRETES]]*4.74,((#REF!/17200)*4.74)*DISTÂNCIA3[[#This Row],[KM PARA PAGAMENTO DOS FRETES]])</f>
        <v>#REF!</v>
      </c>
      <c r="J488" s="4">
        <f>DISTÂNCIA3[[#This Row],[Valor CTE]]/DISTÂNCIA3[[#This Row],[KM PARA PAGAMENTO DOS FRETES]]</f>
        <v>7.1725714285714286</v>
      </c>
      <c r="K488" s="6">
        <f t="shared" si="18"/>
        <v>354.67</v>
      </c>
      <c r="L488" s="6">
        <f>0.92*DISTÂNCIA3[[#This Row],[KM distancia]]*4.578</f>
        <v>147.41160000000002</v>
      </c>
      <c r="M488" s="6">
        <f t="shared" si="19"/>
        <v>502.08</v>
      </c>
    </row>
    <row r="489" spans="1:13" hidden="1" x14ac:dyDescent="0.35">
      <c r="A489">
        <f>'DASE DADOS - DISTANCIA'!A489</f>
        <v>5726271</v>
      </c>
      <c r="B489" t="str">
        <f>'DASE DADOS - DISTANCIA'!B489</f>
        <v>MELISSA LAUERMANN VIERO</v>
      </c>
      <c r="C489" t="str">
        <f>'DASE DADOS - DISTANCIA'!C489</f>
        <v xml:space="preserve"> A1</v>
      </c>
      <c r="D489" t="str">
        <f>'DASE DADOS - DISTANCIA'!E489</f>
        <v>CORBELIA</v>
      </c>
      <c r="E489" t="str">
        <f>'DASE DADOS - DISTANCIA'!I489</f>
        <v>PLUMA</v>
      </c>
      <c r="F489" s="7">
        <v>35</v>
      </c>
      <c r="G489">
        <f>'DASE DADOS - DISTANCIA'!J489</f>
        <v>70</v>
      </c>
      <c r="H489" s="2">
        <v>420</v>
      </c>
      <c r="I489" s="2" t="e">
        <f>IF(#REF!&lt;17200,DISTÂNCIA3[[#This Row],[KM PARA PAGAMENTO DOS FRETES]]*4.74,((#REF!/17200)*4.74)*DISTÂNCIA3[[#This Row],[KM PARA PAGAMENTO DOS FRETES]])</f>
        <v>#REF!</v>
      </c>
      <c r="J489" s="4">
        <f>DISTÂNCIA3[[#This Row],[Valor CTE]]/DISTÂNCIA3[[#This Row],[KM PARA PAGAMENTO DOS FRETES]]</f>
        <v>7.1725714285714286</v>
      </c>
      <c r="K489" s="6">
        <f t="shared" si="18"/>
        <v>354.67</v>
      </c>
      <c r="L489" s="6">
        <f>0.92*DISTÂNCIA3[[#This Row],[KM distancia]]*4.578</f>
        <v>147.41160000000002</v>
      </c>
      <c r="M489" s="6">
        <f t="shared" si="19"/>
        <v>502.08</v>
      </c>
    </row>
    <row r="490" spans="1:13" hidden="1" x14ac:dyDescent="0.35">
      <c r="A490">
        <f>'DASE DADOS - DISTANCIA'!A490</f>
        <v>686280</v>
      </c>
      <c r="B490" t="str">
        <f>'DASE DADOS - DISTANCIA'!B490</f>
        <v>MILTON DREISSIG</v>
      </c>
      <c r="C490" t="str">
        <f>'DASE DADOS - DISTANCIA'!C490</f>
        <v xml:space="preserve"> A1</v>
      </c>
      <c r="D490" t="str">
        <f>'DASE DADOS - DISTANCIA'!E490</f>
        <v>NOVA SANTA ROSA</v>
      </c>
      <c r="E490" t="str">
        <f>'DASE DADOS - DISTANCIA'!I490</f>
        <v>PLUMA</v>
      </c>
      <c r="F490" s="7">
        <v>96</v>
      </c>
      <c r="G490">
        <f>'DASE DADOS - DISTANCIA'!J490</f>
        <v>192</v>
      </c>
      <c r="H490" s="2">
        <v>420</v>
      </c>
      <c r="I490" s="2" t="e">
        <f>IF(#REF!&lt;17200,DISTÂNCIA3[[#This Row],[KM PARA PAGAMENTO DOS FRETES]]*4.74,((#REF!/17200)*4.74)*DISTÂNCIA3[[#This Row],[KM PARA PAGAMENTO DOS FRETES]])</f>
        <v>#REF!</v>
      </c>
      <c r="J490" s="4">
        <f>DISTÂNCIA3[[#This Row],[Valor CTE]]/DISTÂNCIA3[[#This Row],[KM PARA PAGAMENTO DOS FRETES]]</f>
        <v>5.4076041666666663</v>
      </c>
      <c r="K490" s="6">
        <f t="shared" si="18"/>
        <v>633.92999999999995</v>
      </c>
      <c r="L490" s="6">
        <f>0.92*DISTÂNCIA3[[#This Row],[KM distancia]]*4.578</f>
        <v>404.32896000000005</v>
      </c>
      <c r="M490" s="6">
        <f t="shared" si="19"/>
        <v>1038.26</v>
      </c>
    </row>
    <row r="491" spans="1:13" hidden="1" x14ac:dyDescent="0.35">
      <c r="A491">
        <f>'DASE DADOS - DISTANCIA'!A491</f>
        <v>686280</v>
      </c>
      <c r="B491" t="str">
        <f>'DASE DADOS - DISTANCIA'!B491</f>
        <v>MILTON DREISSIG</v>
      </c>
      <c r="C491" t="str">
        <f>'DASE DADOS - DISTANCIA'!C491</f>
        <v xml:space="preserve"> A6</v>
      </c>
      <c r="D491" t="str">
        <f>'DASE DADOS - DISTANCIA'!E491</f>
        <v>NOVA SANTA ROSA</v>
      </c>
      <c r="E491" t="str">
        <f>'DASE DADOS - DISTANCIA'!I491</f>
        <v>PLUMA</v>
      </c>
      <c r="F491" s="7">
        <v>96</v>
      </c>
      <c r="G491">
        <f>'DASE DADOS - DISTANCIA'!J491</f>
        <v>192</v>
      </c>
      <c r="H491" s="2">
        <v>420</v>
      </c>
      <c r="I491" s="2" t="e">
        <f>IF(#REF!&lt;17200,DISTÂNCIA3[[#This Row],[KM PARA PAGAMENTO DOS FRETES]]*4.74,((#REF!/17200)*4.74)*DISTÂNCIA3[[#This Row],[KM PARA PAGAMENTO DOS FRETES]])</f>
        <v>#REF!</v>
      </c>
      <c r="J491" s="4">
        <f>DISTÂNCIA3[[#This Row],[Valor CTE]]/DISTÂNCIA3[[#This Row],[KM PARA PAGAMENTO DOS FRETES]]</f>
        <v>5.4076041666666663</v>
      </c>
      <c r="K491" s="6">
        <f t="shared" si="18"/>
        <v>633.92999999999995</v>
      </c>
      <c r="L491" s="6">
        <f>0.92*DISTÂNCIA3[[#This Row],[KM distancia]]*4.578</f>
        <v>404.32896000000005</v>
      </c>
      <c r="M491" s="6">
        <f t="shared" si="19"/>
        <v>1038.26</v>
      </c>
    </row>
    <row r="492" spans="1:13" hidden="1" x14ac:dyDescent="0.35">
      <c r="A492">
        <f>'DASE DADOS - DISTANCIA'!A492</f>
        <v>686280</v>
      </c>
      <c r="B492" t="str">
        <f>'DASE DADOS - DISTANCIA'!B492</f>
        <v>MILTON DREISSIG</v>
      </c>
      <c r="C492" t="str">
        <f>'DASE DADOS - DISTANCIA'!C492</f>
        <v xml:space="preserve"> A5</v>
      </c>
      <c r="D492" t="str">
        <f>'DASE DADOS - DISTANCIA'!E492</f>
        <v>NOVA SANTA ROSA</v>
      </c>
      <c r="E492" t="str">
        <f>'DASE DADOS - DISTANCIA'!I492</f>
        <v>PLUMA</v>
      </c>
      <c r="F492" s="7">
        <v>96</v>
      </c>
      <c r="G492">
        <f>'DASE DADOS - DISTANCIA'!J492</f>
        <v>192</v>
      </c>
      <c r="H492" s="2">
        <v>420</v>
      </c>
      <c r="I492" s="2" t="e">
        <f>IF(#REF!&lt;17200,DISTÂNCIA3[[#This Row],[KM PARA PAGAMENTO DOS FRETES]]*4.74,((#REF!/17200)*4.74)*DISTÂNCIA3[[#This Row],[KM PARA PAGAMENTO DOS FRETES]])</f>
        <v>#REF!</v>
      </c>
      <c r="J492" s="4">
        <f>DISTÂNCIA3[[#This Row],[Valor CTE]]/DISTÂNCIA3[[#This Row],[KM PARA PAGAMENTO DOS FRETES]]</f>
        <v>5.4076041666666663</v>
      </c>
      <c r="K492" s="6">
        <f t="shared" si="18"/>
        <v>633.92999999999995</v>
      </c>
      <c r="L492" s="6">
        <f>0.92*DISTÂNCIA3[[#This Row],[KM distancia]]*4.578</f>
        <v>404.32896000000005</v>
      </c>
      <c r="M492" s="6">
        <f t="shared" si="19"/>
        <v>1038.26</v>
      </c>
    </row>
    <row r="493" spans="1:13" hidden="1" x14ac:dyDescent="0.35">
      <c r="A493">
        <f>'DASE DADOS - DISTANCIA'!A493</f>
        <v>686280</v>
      </c>
      <c r="B493" t="str">
        <f>'DASE DADOS - DISTANCIA'!B493</f>
        <v>MILTON DREISSIG</v>
      </c>
      <c r="C493" t="str">
        <f>'DASE DADOS - DISTANCIA'!C493</f>
        <v xml:space="preserve"> A4</v>
      </c>
      <c r="D493" t="str">
        <f>'DASE DADOS - DISTANCIA'!E493</f>
        <v>NOVA SANTA ROSA</v>
      </c>
      <c r="E493" t="str">
        <f>'DASE DADOS - DISTANCIA'!I493</f>
        <v>PLUMA</v>
      </c>
      <c r="F493" s="7">
        <v>96</v>
      </c>
      <c r="G493">
        <f>'DASE DADOS - DISTANCIA'!J493</f>
        <v>192</v>
      </c>
      <c r="H493" s="2">
        <v>420</v>
      </c>
      <c r="I493" s="2" t="e">
        <f>IF(#REF!&lt;17200,DISTÂNCIA3[[#This Row],[KM PARA PAGAMENTO DOS FRETES]]*4.74,((#REF!/17200)*4.74)*DISTÂNCIA3[[#This Row],[KM PARA PAGAMENTO DOS FRETES]])</f>
        <v>#REF!</v>
      </c>
      <c r="J493" s="4">
        <f>DISTÂNCIA3[[#This Row],[Valor CTE]]/DISTÂNCIA3[[#This Row],[KM PARA PAGAMENTO DOS FRETES]]</f>
        <v>5.4076041666666663</v>
      </c>
      <c r="K493" s="6">
        <f t="shared" si="18"/>
        <v>633.92999999999995</v>
      </c>
      <c r="L493" s="6">
        <f>0.92*DISTÂNCIA3[[#This Row],[KM distancia]]*4.578</f>
        <v>404.32896000000005</v>
      </c>
      <c r="M493" s="6">
        <f t="shared" si="19"/>
        <v>1038.26</v>
      </c>
    </row>
    <row r="494" spans="1:13" hidden="1" x14ac:dyDescent="0.35">
      <c r="A494">
        <f>'DASE DADOS - DISTANCIA'!A494</f>
        <v>686280</v>
      </c>
      <c r="B494" t="str">
        <f>'DASE DADOS - DISTANCIA'!B494</f>
        <v>MILTON DREISSIG</v>
      </c>
      <c r="C494" t="str">
        <f>'DASE DADOS - DISTANCIA'!C494</f>
        <v xml:space="preserve"> A3</v>
      </c>
      <c r="D494" t="str">
        <f>'DASE DADOS - DISTANCIA'!E494</f>
        <v>NOVA SANTA ROSA</v>
      </c>
      <c r="E494" t="str">
        <f>'DASE DADOS - DISTANCIA'!I494</f>
        <v>PLUMA</v>
      </c>
      <c r="F494" s="7">
        <v>96</v>
      </c>
      <c r="G494">
        <f>'DASE DADOS - DISTANCIA'!J494</f>
        <v>192</v>
      </c>
      <c r="H494" s="2">
        <v>420</v>
      </c>
      <c r="I494" s="2" t="e">
        <f>IF(#REF!&lt;17200,DISTÂNCIA3[[#This Row],[KM PARA PAGAMENTO DOS FRETES]]*4.74,((#REF!/17200)*4.74)*DISTÂNCIA3[[#This Row],[KM PARA PAGAMENTO DOS FRETES]])</f>
        <v>#REF!</v>
      </c>
      <c r="J494" s="4">
        <f>DISTÂNCIA3[[#This Row],[Valor CTE]]/DISTÂNCIA3[[#This Row],[KM PARA PAGAMENTO DOS FRETES]]</f>
        <v>5.4076041666666663</v>
      </c>
      <c r="K494" s="6">
        <f t="shared" si="18"/>
        <v>633.92999999999995</v>
      </c>
      <c r="L494" s="6">
        <f>0.92*DISTÂNCIA3[[#This Row],[KM distancia]]*4.578</f>
        <v>404.32896000000005</v>
      </c>
      <c r="M494" s="6">
        <f t="shared" si="19"/>
        <v>1038.26</v>
      </c>
    </row>
    <row r="495" spans="1:13" hidden="1" x14ac:dyDescent="0.35">
      <c r="A495">
        <f>'DASE DADOS - DISTANCIA'!A495</f>
        <v>686280</v>
      </c>
      <c r="B495" t="str">
        <f>'DASE DADOS - DISTANCIA'!B495</f>
        <v>MILTON DREISSIG</v>
      </c>
      <c r="C495" t="str">
        <f>'DASE DADOS - DISTANCIA'!C495</f>
        <v xml:space="preserve"> A2</v>
      </c>
      <c r="D495" t="str">
        <f>'DASE DADOS - DISTANCIA'!E495</f>
        <v>NOVA SANTA ROSA</v>
      </c>
      <c r="E495" t="str">
        <f>'DASE DADOS - DISTANCIA'!I495</f>
        <v>PLUMA</v>
      </c>
      <c r="F495" s="7">
        <v>96</v>
      </c>
      <c r="G495">
        <f>'DASE DADOS - DISTANCIA'!J495</f>
        <v>192</v>
      </c>
      <c r="H495" s="2">
        <v>420</v>
      </c>
      <c r="I495" s="2" t="e">
        <f>IF(#REF!&lt;17200,DISTÂNCIA3[[#This Row],[KM PARA PAGAMENTO DOS FRETES]]*4.74,((#REF!/17200)*4.74)*DISTÂNCIA3[[#This Row],[KM PARA PAGAMENTO DOS FRETES]])</f>
        <v>#REF!</v>
      </c>
      <c r="J495" s="4">
        <f>DISTÂNCIA3[[#This Row],[Valor CTE]]/DISTÂNCIA3[[#This Row],[KM PARA PAGAMENTO DOS FRETES]]</f>
        <v>5.4076041666666663</v>
      </c>
      <c r="K495" s="6">
        <f t="shared" si="18"/>
        <v>633.92999999999995</v>
      </c>
      <c r="L495" s="6">
        <f>0.92*DISTÂNCIA3[[#This Row],[KM distancia]]*4.578</f>
        <v>404.32896000000005</v>
      </c>
      <c r="M495" s="6">
        <f t="shared" si="19"/>
        <v>1038.26</v>
      </c>
    </row>
    <row r="496" spans="1:13" hidden="1" x14ac:dyDescent="0.35">
      <c r="A496">
        <f>'DASE DADOS - DISTANCIA'!A496</f>
        <v>6215394</v>
      </c>
      <c r="B496" t="str">
        <f>'DASE DADOS - DISTANCIA'!B496</f>
        <v>NADINE CAETANO DO CARMO BACH</v>
      </c>
      <c r="C496" t="str">
        <f>'DASE DADOS - DISTANCIA'!C496</f>
        <v xml:space="preserve"> A1</v>
      </c>
      <c r="D496" t="str">
        <f>'DASE DADOS - DISTANCIA'!E496</f>
        <v>QUATRO PONTES</v>
      </c>
      <c r="E496" t="str">
        <f>'DASE DADOS - DISTANCIA'!I496</f>
        <v>PLUMA</v>
      </c>
      <c r="F496" s="7">
        <v>89</v>
      </c>
      <c r="G496">
        <f>'DASE DADOS - DISTANCIA'!J496</f>
        <v>178</v>
      </c>
      <c r="H496" s="2">
        <v>420</v>
      </c>
      <c r="I496" s="2" t="e">
        <f>IF(#REF!&lt;17200,DISTÂNCIA3[[#This Row],[KM PARA PAGAMENTO DOS FRETES]]*4.74,((#REF!/17200)*4.74)*DISTÂNCIA3[[#This Row],[KM PARA PAGAMENTO DOS FRETES]])</f>
        <v>#REF!</v>
      </c>
      <c r="J496" s="4">
        <f>DISTÂNCIA3[[#This Row],[Valor CTE]]/DISTÂNCIA3[[#This Row],[KM PARA PAGAMENTO DOS FRETES]]</f>
        <v>5.4872471910112361</v>
      </c>
      <c r="K496" s="6">
        <f t="shared" si="18"/>
        <v>601.88</v>
      </c>
      <c r="L496" s="6">
        <f>0.92*DISTÂNCIA3[[#This Row],[KM distancia]]*4.578</f>
        <v>374.84664000000009</v>
      </c>
      <c r="M496" s="6">
        <f t="shared" si="19"/>
        <v>976.73</v>
      </c>
    </row>
    <row r="497" spans="1:13" hidden="1" x14ac:dyDescent="0.35">
      <c r="A497">
        <f>'DASE DADOS - DISTANCIA'!A497</f>
        <v>6215394</v>
      </c>
      <c r="B497" t="str">
        <f>'DASE DADOS - DISTANCIA'!B497</f>
        <v>NADINE CAETANO DO CARMO BACH</v>
      </c>
      <c r="C497" t="str">
        <f>'DASE DADOS - DISTANCIA'!C497</f>
        <v xml:space="preserve"> A2</v>
      </c>
      <c r="D497" t="str">
        <f>'DASE DADOS - DISTANCIA'!E497</f>
        <v>QUATRO PONTES</v>
      </c>
      <c r="E497" t="str">
        <f>'DASE DADOS - DISTANCIA'!I497</f>
        <v>PLUMA</v>
      </c>
      <c r="F497" s="7">
        <v>89</v>
      </c>
      <c r="G497">
        <f>'DASE DADOS - DISTANCIA'!J497</f>
        <v>178</v>
      </c>
      <c r="H497" s="2">
        <v>420</v>
      </c>
      <c r="I497" s="2" t="e">
        <f>IF(#REF!&lt;17200,DISTÂNCIA3[[#This Row],[KM PARA PAGAMENTO DOS FRETES]]*4.74,((#REF!/17200)*4.74)*DISTÂNCIA3[[#This Row],[KM PARA PAGAMENTO DOS FRETES]])</f>
        <v>#REF!</v>
      </c>
      <c r="J497" s="4">
        <f>DISTÂNCIA3[[#This Row],[Valor CTE]]/DISTÂNCIA3[[#This Row],[KM PARA PAGAMENTO DOS FRETES]]</f>
        <v>5.4872471910112361</v>
      </c>
      <c r="K497" s="6">
        <f t="shared" si="18"/>
        <v>601.88</v>
      </c>
      <c r="L497" s="6">
        <f>0.92*DISTÂNCIA3[[#This Row],[KM distancia]]*4.578</f>
        <v>374.84664000000009</v>
      </c>
      <c r="M497" s="6">
        <f t="shared" si="19"/>
        <v>976.73</v>
      </c>
    </row>
    <row r="498" spans="1:13" hidden="1" x14ac:dyDescent="0.35">
      <c r="A498">
        <f>'DASE DADOS - DISTANCIA'!A498</f>
        <v>0</v>
      </c>
      <c r="B498" t="str">
        <f>'DASE DADOS - DISTANCIA'!B498</f>
        <v>SERGIO ANTONINHO SPEZZIA</v>
      </c>
      <c r="C498" t="str">
        <f>'DASE DADOS - DISTANCIA'!C498</f>
        <v xml:space="preserve"> A1</v>
      </c>
      <c r="D498" t="str">
        <f>'DASE DADOS - DISTANCIA'!E498</f>
        <v>BARRACÃO</v>
      </c>
      <c r="E498" t="str">
        <f>'DASE DADOS - DISTANCIA'!I498</f>
        <v>PLUSVAL</v>
      </c>
      <c r="F498" s="7">
        <v>193</v>
      </c>
      <c r="G498">
        <v>386</v>
      </c>
      <c r="H498" s="2">
        <v>420</v>
      </c>
      <c r="I498" s="2" t="e">
        <f>IF(#REF!&lt;17200,DISTÂNCIA3[[#This Row],[KM PARA PAGAMENTO DOS FRETES]]*4.74,((#REF!/17200)*4.74)*DISTÂNCIA3[[#This Row],[KM PARA PAGAMENTO DOS FRETES]])</f>
        <v>#REF!</v>
      </c>
      <c r="J498" s="4">
        <f>DISTÂNCIA3[[#This Row],[Valor CTE]]/DISTÂNCIA3[[#This Row],[KM PARA PAGAMENTO DOS FRETES]]</f>
        <v>4.8986010362694294</v>
      </c>
      <c r="K498" s="6">
        <f t="shared" si="18"/>
        <v>1077.99</v>
      </c>
      <c r="L498" s="6">
        <f>0.92*DISTÂNCIA3[[#This Row],[KM distancia]]*4.578</f>
        <v>812.86968000000002</v>
      </c>
      <c r="M498" s="6">
        <f t="shared" si="19"/>
        <v>1890.86</v>
      </c>
    </row>
    <row r="499" spans="1:13" hidden="1" x14ac:dyDescent="0.35">
      <c r="A499">
        <f>'DASE DADOS - DISTANCIA'!A499</f>
        <v>0</v>
      </c>
      <c r="B499" t="str">
        <f>'DASE DADOS - DISTANCIA'!B499</f>
        <v>SERGIO ANTONINHO SPEZZIA</v>
      </c>
      <c r="C499" t="str">
        <f>'DASE DADOS - DISTANCIA'!C499</f>
        <v xml:space="preserve"> A2</v>
      </c>
      <c r="D499" t="str">
        <f>'DASE DADOS - DISTANCIA'!E499</f>
        <v>BARRACÃO</v>
      </c>
      <c r="E499" t="str">
        <f>'DASE DADOS - DISTANCIA'!I499</f>
        <v>PLUSVAL</v>
      </c>
      <c r="F499" s="7">
        <v>193</v>
      </c>
      <c r="G499">
        <v>386</v>
      </c>
      <c r="H499" s="2">
        <v>420</v>
      </c>
      <c r="I499" s="2" t="e">
        <f>IF(#REF!&lt;17200,DISTÂNCIA3[[#This Row],[KM PARA PAGAMENTO DOS FRETES]]*4.74,((#REF!/17200)*4.74)*DISTÂNCIA3[[#This Row],[KM PARA PAGAMENTO DOS FRETES]])</f>
        <v>#REF!</v>
      </c>
      <c r="J499" s="4">
        <f>DISTÂNCIA3[[#This Row],[Valor CTE]]/DISTÂNCIA3[[#This Row],[KM PARA PAGAMENTO DOS FRETES]]</f>
        <v>4.8986010362694294</v>
      </c>
      <c r="K499" s="6">
        <f t="shared" si="18"/>
        <v>1077.99</v>
      </c>
      <c r="L499" s="6">
        <f>0.92*DISTÂNCIA3[[#This Row],[KM distancia]]*4.578</f>
        <v>812.86968000000002</v>
      </c>
      <c r="M499" s="6">
        <f t="shared" si="19"/>
        <v>1890.86</v>
      </c>
    </row>
    <row r="500" spans="1:13" hidden="1" x14ac:dyDescent="0.35">
      <c r="A500">
        <f>'DASE DADOS - DISTANCIA'!A500</f>
        <v>6159508</v>
      </c>
      <c r="B500" t="str">
        <f>'DASE DADOS - DISTANCIA'!B500</f>
        <v>NATHALIA BASDAO RODRIGUES DA SILVA</v>
      </c>
      <c r="C500" t="str">
        <f>'DASE DADOS - DISTANCIA'!C500</f>
        <v xml:space="preserve"> A2</v>
      </c>
      <c r="D500" t="str">
        <f>'DASE DADOS - DISTANCIA'!E500</f>
        <v>CASCAVEL</v>
      </c>
      <c r="E500" t="str">
        <f>'DASE DADOS - DISTANCIA'!I500</f>
        <v>PLUMA</v>
      </c>
      <c r="F500" s="7">
        <v>22</v>
      </c>
      <c r="G500">
        <f>'DASE DADOS - DISTANCIA'!J500</f>
        <v>44</v>
      </c>
      <c r="H500" s="2">
        <v>420</v>
      </c>
      <c r="I500" s="2" t="e">
        <f>IF(#REF!&lt;17200,DISTÂNCIA3[[#This Row],[KM PARA PAGAMENTO DOS FRETES]]*4.74,((#REF!/17200)*4.74)*DISTÂNCIA3[[#This Row],[KM PARA PAGAMENTO DOS FRETES]])</f>
        <v>#REF!</v>
      </c>
      <c r="J500" s="4">
        <f>DISTÂNCIA3[[#This Row],[Valor CTE]]/DISTÂNCIA3[[#This Row],[KM PARA PAGAMENTO DOS FRETES]]</f>
        <v>8.8138636363636369</v>
      </c>
      <c r="K500" s="6">
        <f t="shared" si="18"/>
        <v>295.16000000000003</v>
      </c>
      <c r="L500" s="6">
        <f>0.92*DISTÂNCIA3[[#This Row],[KM distancia]]*4.578</f>
        <v>92.658720000000017</v>
      </c>
      <c r="M500" s="6">
        <f t="shared" si="19"/>
        <v>387.81</v>
      </c>
    </row>
    <row r="501" spans="1:13" hidden="1" x14ac:dyDescent="0.35">
      <c r="A501">
        <f>'DASE DADOS - DISTANCIA'!A501</f>
        <v>6159508</v>
      </c>
      <c r="B501" t="str">
        <f>'DASE DADOS - DISTANCIA'!B501</f>
        <v>NATHALIA BASDAO RODRIGUES DA SILVA</v>
      </c>
      <c r="C501" t="str">
        <f>'DASE DADOS - DISTANCIA'!C501</f>
        <v xml:space="preserve"> A1</v>
      </c>
      <c r="D501" t="str">
        <f>'DASE DADOS - DISTANCIA'!E501</f>
        <v>CASCAVEL</v>
      </c>
      <c r="E501" t="str">
        <f>'DASE DADOS - DISTANCIA'!I501</f>
        <v>PLUMA</v>
      </c>
      <c r="F501" s="7">
        <v>22</v>
      </c>
      <c r="G501">
        <f>'DASE DADOS - DISTANCIA'!J501</f>
        <v>44</v>
      </c>
      <c r="H501" s="2">
        <v>420</v>
      </c>
      <c r="I501" s="2" t="e">
        <f>IF(#REF!&lt;17200,DISTÂNCIA3[[#This Row],[KM PARA PAGAMENTO DOS FRETES]]*4.74,((#REF!/17200)*4.74)*DISTÂNCIA3[[#This Row],[KM PARA PAGAMENTO DOS FRETES]])</f>
        <v>#REF!</v>
      </c>
      <c r="J501" s="4">
        <f>DISTÂNCIA3[[#This Row],[Valor CTE]]/DISTÂNCIA3[[#This Row],[KM PARA PAGAMENTO DOS FRETES]]</f>
        <v>8.8138636363636369</v>
      </c>
      <c r="K501" s="6">
        <f t="shared" si="18"/>
        <v>295.16000000000003</v>
      </c>
      <c r="L501" s="6">
        <f>0.92*DISTÂNCIA3[[#This Row],[KM distancia]]*4.578</f>
        <v>92.658720000000017</v>
      </c>
      <c r="M501" s="6">
        <f t="shared" si="19"/>
        <v>387.81</v>
      </c>
    </row>
    <row r="502" spans="1:13" hidden="1" x14ac:dyDescent="0.35">
      <c r="A502">
        <f>'DASE DADOS - DISTANCIA'!A502</f>
        <v>463442</v>
      </c>
      <c r="B502" t="str">
        <f>'DASE DADOS - DISTANCIA'!B502</f>
        <v>NEIVA RAUBER SEIBERT</v>
      </c>
      <c r="C502" t="str">
        <f>'DASE DADOS - DISTANCIA'!C502</f>
        <v xml:space="preserve"> A1</v>
      </c>
      <c r="D502" t="str">
        <f>'DASE DADOS - DISTANCIA'!E502</f>
        <v>TOLEDO</v>
      </c>
      <c r="E502" t="str">
        <f>'DASE DADOS - DISTANCIA'!I502</f>
        <v>PLUMA</v>
      </c>
      <c r="F502" s="7">
        <v>69</v>
      </c>
      <c r="G502">
        <f>'DASE DADOS - DISTANCIA'!J502</f>
        <v>138</v>
      </c>
      <c r="H502" s="2">
        <v>420</v>
      </c>
      <c r="I502" s="2" t="e">
        <f>IF(#REF!&lt;17200,DISTÂNCIA3[[#This Row],[KM PARA PAGAMENTO DOS FRETES]]*4.74,((#REF!/17200)*4.74)*DISTÂNCIA3[[#This Row],[KM PARA PAGAMENTO DOS FRETES]])</f>
        <v>#REF!</v>
      </c>
      <c r="J502" s="4">
        <f>DISTÂNCIA3[[#This Row],[Valor CTE]]/DISTÂNCIA3[[#This Row],[KM PARA PAGAMENTO DOS FRETES]]</f>
        <v>5.8038405797101449</v>
      </c>
      <c r="K502" s="6">
        <f t="shared" si="18"/>
        <v>510.32</v>
      </c>
      <c r="L502" s="6">
        <f>0.92*DISTÂNCIA3[[#This Row],[KM distancia]]*4.578</f>
        <v>290.61144000000002</v>
      </c>
      <c r="M502" s="6">
        <f t="shared" si="19"/>
        <v>800.93</v>
      </c>
    </row>
    <row r="503" spans="1:13" hidden="1" x14ac:dyDescent="0.35">
      <c r="A503">
        <f>'DASE DADOS - DISTANCIA'!A503</f>
        <v>5160022</v>
      </c>
      <c r="B503" t="str">
        <f>'DASE DADOS - DISTANCIA'!B503</f>
        <v>NELCIR PASCUALINO DESORDI</v>
      </c>
      <c r="C503" t="str">
        <f>'DASE DADOS - DISTANCIA'!C503</f>
        <v xml:space="preserve"> A2</v>
      </c>
      <c r="D503" t="str">
        <f>'DASE DADOS - DISTANCIA'!E503</f>
        <v>TOLEDO</v>
      </c>
      <c r="E503" t="str">
        <f>'DASE DADOS - DISTANCIA'!I503</f>
        <v>PLUMA</v>
      </c>
      <c r="F503" s="7">
        <v>64</v>
      </c>
      <c r="G503">
        <f>'DASE DADOS - DISTANCIA'!J503</f>
        <v>128</v>
      </c>
      <c r="H503" s="2">
        <v>420</v>
      </c>
      <c r="I503" s="2" t="e">
        <f>IF(#REF!&lt;17200,DISTÂNCIA3[[#This Row],[KM PARA PAGAMENTO DOS FRETES]]*4.74,((#REF!/17200)*4.74)*DISTÂNCIA3[[#This Row],[KM PARA PAGAMENTO DOS FRETES]])</f>
        <v>#REF!</v>
      </c>
      <c r="J503" s="4">
        <f>DISTÂNCIA3[[#This Row],[Valor CTE]]/DISTÂNCIA3[[#This Row],[KM PARA PAGAMENTO DOS FRETES]]</f>
        <v>5.9139062500000001</v>
      </c>
      <c r="K503" s="6">
        <f t="shared" si="18"/>
        <v>487.43</v>
      </c>
      <c r="L503" s="6">
        <f>0.92*DISTÂNCIA3[[#This Row],[KM distancia]]*4.578</f>
        <v>269.55264000000005</v>
      </c>
      <c r="M503" s="6">
        <f t="shared" si="19"/>
        <v>756.98</v>
      </c>
    </row>
    <row r="504" spans="1:13" hidden="1" x14ac:dyDescent="0.35">
      <c r="A504">
        <f>'DASE DADOS - DISTANCIA'!A504</f>
        <v>5160022</v>
      </c>
      <c r="B504" t="str">
        <f>'DASE DADOS - DISTANCIA'!B504</f>
        <v>NELCIR PASCUALINO DESORDI</v>
      </c>
      <c r="C504" t="str">
        <f>'DASE DADOS - DISTANCIA'!C504</f>
        <v xml:space="preserve"> A1</v>
      </c>
      <c r="D504" t="str">
        <f>'DASE DADOS - DISTANCIA'!E504</f>
        <v>TOLEDO</v>
      </c>
      <c r="E504" t="str">
        <f>'DASE DADOS - DISTANCIA'!I504</f>
        <v>PLUMA</v>
      </c>
      <c r="F504" s="7">
        <v>64</v>
      </c>
      <c r="G504">
        <f>'DASE DADOS - DISTANCIA'!J504</f>
        <v>128</v>
      </c>
      <c r="H504" s="2">
        <v>420</v>
      </c>
      <c r="I504" s="2" t="e">
        <f>IF(#REF!&lt;17200,DISTÂNCIA3[[#This Row],[KM PARA PAGAMENTO DOS FRETES]]*4.74,((#REF!/17200)*4.74)*DISTÂNCIA3[[#This Row],[KM PARA PAGAMENTO DOS FRETES]])</f>
        <v>#REF!</v>
      </c>
      <c r="J504" s="4">
        <f>DISTÂNCIA3[[#This Row],[Valor CTE]]/DISTÂNCIA3[[#This Row],[KM PARA PAGAMENTO DOS FRETES]]</f>
        <v>5.9139062500000001</v>
      </c>
      <c r="K504" s="6">
        <f t="shared" si="18"/>
        <v>487.43</v>
      </c>
      <c r="L504" s="6">
        <f>0.92*DISTÂNCIA3[[#This Row],[KM distancia]]*4.578</f>
        <v>269.55264000000005</v>
      </c>
      <c r="M504" s="6">
        <f t="shared" si="19"/>
        <v>756.98</v>
      </c>
    </row>
    <row r="505" spans="1:13" hidden="1" x14ac:dyDescent="0.35">
      <c r="A505">
        <f>'DASE DADOS - DISTANCIA'!A505</f>
        <v>5369797</v>
      </c>
      <c r="B505" t="str">
        <f>'DASE DADOS - DISTANCIA'!B505</f>
        <v>NELSON DREY</v>
      </c>
      <c r="C505" t="str">
        <f>'DASE DADOS - DISTANCIA'!C505</f>
        <v xml:space="preserve"> A1</v>
      </c>
      <c r="D505" t="str">
        <f>'DASE DADOS - DISTANCIA'!E505</f>
        <v>CORBELIA</v>
      </c>
      <c r="E505" t="str">
        <f>'DASE DADOS - DISTANCIA'!I505</f>
        <v>PLUMA</v>
      </c>
      <c r="F505" s="7">
        <v>38</v>
      </c>
      <c r="G505">
        <f>'DASE DADOS - DISTANCIA'!J505</f>
        <v>76</v>
      </c>
      <c r="H505" s="2">
        <v>420</v>
      </c>
      <c r="I505" s="2" t="e">
        <f>IF(#REF!&lt;17200,DISTÂNCIA3[[#This Row],[KM PARA PAGAMENTO DOS FRETES]]*4.74,((#REF!/17200)*4.74)*DISTÂNCIA3[[#This Row],[KM PARA PAGAMENTO DOS FRETES]])</f>
        <v>#REF!</v>
      </c>
      <c r="J505" s="4">
        <f>DISTÂNCIA3[[#This Row],[Valor CTE]]/DISTÂNCIA3[[#This Row],[KM PARA PAGAMENTO DOS FRETES]]</f>
        <v>6.9532894736842108</v>
      </c>
      <c r="K505" s="6">
        <f t="shared" si="18"/>
        <v>368.4</v>
      </c>
      <c r="L505" s="6">
        <f>0.92*DISTÂNCIA3[[#This Row],[KM distancia]]*4.578</f>
        <v>160.04688000000002</v>
      </c>
      <c r="M505" s="6">
        <f t="shared" si="19"/>
        <v>528.45000000000005</v>
      </c>
    </row>
    <row r="506" spans="1:13" hidden="1" x14ac:dyDescent="0.35">
      <c r="A506">
        <f>'DASE DADOS - DISTANCIA'!A506</f>
        <v>485039</v>
      </c>
      <c r="B506" t="str">
        <f>'DASE DADOS - DISTANCIA'!B506</f>
        <v>NELSON SIMIONI</v>
      </c>
      <c r="C506" t="str">
        <f>'DASE DADOS - DISTANCIA'!C506</f>
        <v xml:space="preserve"> A1</v>
      </c>
      <c r="D506" t="str">
        <f>'DASE DADOS - DISTANCIA'!E506</f>
        <v>TOLEDO</v>
      </c>
      <c r="E506" t="str">
        <f>'DASE DADOS - DISTANCIA'!I506</f>
        <v>PLUMA</v>
      </c>
      <c r="F506" s="7">
        <v>76</v>
      </c>
      <c r="G506">
        <f>'DASE DADOS - DISTANCIA'!J506</f>
        <v>152</v>
      </c>
      <c r="H506" s="2">
        <v>420</v>
      </c>
      <c r="I506" s="2" t="e">
        <f>IF(#REF!&lt;17200,DISTÂNCIA3[[#This Row],[KM PARA PAGAMENTO DOS FRETES]]*4.74,((#REF!/17200)*4.74)*DISTÂNCIA3[[#This Row],[KM PARA PAGAMENTO DOS FRETES]])</f>
        <v>#REF!</v>
      </c>
      <c r="J506" s="4">
        <f>DISTÂNCIA3[[#This Row],[Valor CTE]]/DISTÂNCIA3[[#This Row],[KM PARA PAGAMENTO DOS FRETES]]</f>
        <v>5.6740789473684217</v>
      </c>
      <c r="K506" s="6">
        <f t="shared" si="18"/>
        <v>542.37</v>
      </c>
      <c r="L506" s="6">
        <f>0.92*DISTÂNCIA3[[#This Row],[KM distancia]]*4.578</f>
        <v>320.09376000000003</v>
      </c>
      <c r="M506" s="6">
        <f t="shared" si="19"/>
        <v>862.46</v>
      </c>
    </row>
    <row r="507" spans="1:13" hidden="1" x14ac:dyDescent="0.35">
      <c r="A507">
        <f>'DASE DADOS - DISTANCIA'!A507</f>
        <v>485039</v>
      </c>
      <c r="B507" t="str">
        <f>'DASE DADOS - DISTANCIA'!B507</f>
        <v>NELSON SIMIONI</v>
      </c>
      <c r="C507" t="str">
        <f>'DASE DADOS - DISTANCIA'!C507</f>
        <v xml:space="preserve"> A2</v>
      </c>
      <c r="D507" t="str">
        <f>'DASE DADOS - DISTANCIA'!E507</f>
        <v>TOLEDO</v>
      </c>
      <c r="E507" t="str">
        <f>'DASE DADOS - DISTANCIA'!I507</f>
        <v>PLUMA</v>
      </c>
      <c r="F507" s="7">
        <v>76</v>
      </c>
      <c r="G507">
        <f>'DASE DADOS - DISTANCIA'!J507</f>
        <v>152</v>
      </c>
      <c r="H507" s="2">
        <v>420</v>
      </c>
      <c r="I507" s="2" t="e">
        <f>IF(#REF!&lt;17200,DISTÂNCIA3[[#This Row],[KM PARA PAGAMENTO DOS FRETES]]*4.74,((#REF!/17200)*4.74)*DISTÂNCIA3[[#This Row],[KM PARA PAGAMENTO DOS FRETES]])</f>
        <v>#REF!</v>
      </c>
      <c r="J507" s="4">
        <f>DISTÂNCIA3[[#This Row],[Valor CTE]]/DISTÂNCIA3[[#This Row],[KM PARA PAGAMENTO DOS FRETES]]</f>
        <v>5.6740789473684217</v>
      </c>
      <c r="K507" s="6">
        <f t="shared" si="18"/>
        <v>542.37</v>
      </c>
      <c r="L507" s="6">
        <f>0.92*DISTÂNCIA3[[#This Row],[KM distancia]]*4.578</f>
        <v>320.09376000000003</v>
      </c>
      <c r="M507" s="6">
        <f t="shared" si="19"/>
        <v>862.46</v>
      </c>
    </row>
    <row r="508" spans="1:13" hidden="1" x14ac:dyDescent="0.35">
      <c r="A508">
        <f>'DASE DADOS - DISTANCIA'!A508</f>
        <v>2342316</v>
      </c>
      <c r="B508" t="str">
        <f>'DASE DADOS - DISTANCIA'!B508</f>
        <v>NERIO LUIS CONRAT</v>
      </c>
      <c r="C508" t="str">
        <f>'DASE DADOS - DISTANCIA'!C508</f>
        <v xml:space="preserve"> A1</v>
      </c>
      <c r="D508" t="str">
        <f>'DASE DADOS - DISTANCIA'!E508</f>
        <v>TOLEDO</v>
      </c>
      <c r="E508" t="str">
        <f>'DASE DADOS - DISTANCIA'!I508</f>
        <v>PLUMA</v>
      </c>
      <c r="F508" s="7">
        <v>70</v>
      </c>
      <c r="G508">
        <f>'DASE DADOS - DISTANCIA'!J508</f>
        <v>140</v>
      </c>
      <c r="H508" s="2">
        <v>420</v>
      </c>
      <c r="I508" s="2" t="e">
        <f>IF(#REF!&lt;17200,DISTÂNCIA3[[#This Row],[KM PARA PAGAMENTO DOS FRETES]]*4.74,((#REF!/17200)*4.74)*DISTÂNCIA3[[#This Row],[KM PARA PAGAMENTO DOS FRETES]])</f>
        <v>#REF!</v>
      </c>
      <c r="J508" s="4">
        <f>DISTÂNCIA3[[#This Row],[Valor CTE]]/DISTÂNCIA3[[#This Row],[KM PARA PAGAMENTO DOS FRETES]]</f>
        <v>5.7837142857142858</v>
      </c>
      <c r="K508" s="6">
        <f t="shared" si="18"/>
        <v>514.9</v>
      </c>
      <c r="L508" s="6">
        <f>0.92*DISTÂNCIA3[[#This Row],[KM distancia]]*4.578</f>
        <v>294.82320000000004</v>
      </c>
      <c r="M508" s="6">
        <f t="shared" si="19"/>
        <v>809.72</v>
      </c>
    </row>
    <row r="509" spans="1:13" hidden="1" x14ac:dyDescent="0.35">
      <c r="A509">
        <f>'DASE DADOS - DISTANCIA'!A509</f>
        <v>2342316</v>
      </c>
      <c r="B509" t="str">
        <f>'DASE DADOS - DISTANCIA'!B509</f>
        <v>NERIO LUIS CONRAT</v>
      </c>
      <c r="C509" t="str">
        <f>'DASE DADOS - DISTANCIA'!C509</f>
        <v xml:space="preserve"> A2</v>
      </c>
      <c r="D509" t="str">
        <f>'DASE DADOS - DISTANCIA'!E509</f>
        <v>TOLEDO</v>
      </c>
      <c r="E509" t="str">
        <f>'DASE DADOS - DISTANCIA'!I509</f>
        <v>PLUMA</v>
      </c>
      <c r="F509" s="7">
        <v>70</v>
      </c>
      <c r="G509">
        <f>'DASE DADOS - DISTANCIA'!J509</f>
        <v>140</v>
      </c>
      <c r="H509" s="2">
        <v>420</v>
      </c>
      <c r="I509" s="2" t="e">
        <f>IF(#REF!&lt;17200,DISTÂNCIA3[[#This Row],[KM PARA PAGAMENTO DOS FRETES]]*4.74,((#REF!/17200)*4.74)*DISTÂNCIA3[[#This Row],[KM PARA PAGAMENTO DOS FRETES]])</f>
        <v>#REF!</v>
      </c>
      <c r="J509" s="4">
        <f>DISTÂNCIA3[[#This Row],[Valor CTE]]/DISTÂNCIA3[[#This Row],[KM PARA PAGAMENTO DOS FRETES]]</f>
        <v>5.7837142857142858</v>
      </c>
      <c r="K509" s="6">
        <f t="shared" si="18"/>
        <v>514.9</v>
      </c>
      <c r="L509" s="6">
        <f>0.92*DISTÂNCIA3[[#This Row],[KM distancia]]*4.578</f>
        <v>294.82320000000004</v>
      </c>
      <c r="M509" s="6">
        <f t="shared" si="19"/>
        <v>809.72</v>
      </c>
    </row>
    <row r="510" spans="1:13" hidden="1" x14ac:dyDescent="0.35">
      <c r="A510">
        <f>'DASE DADOS - DISTANCIA'!A510</f>
        <v>2342316</v>
      </c>
      <c r="B510" t="str">
        <f>'DASE DADOS - DISTANCIA'!B510</f>
        <v>NERIO LUIS CONRAT</v>
      </c>
      <c r="C510" t="str">
        <f>'DASE DADOS - DISTANCIA'!C510</f>
        <v xml:space="preserve"> A3</v>
      </c>
      <c r="D510" t="str">
        <f>'DASE DADOS - DISTANCIA'!E510</f>
        <v>TOLEDO</v>
      </c>
      <c r="E510" t="str">
        <f>'DASE DADOS - DISTANCIA'!I510</f>
        <v>PLUMA</v>
      </c>
      <c r="F510" s="7">
        <v>70</v>
      </c>
      <c r="G510">
        <f>'DASE DADOS - DISTANCIA'!J510</f>
        <v>140</v>
      </c>
      <c r="H510" s="2">
        <v>420</v>
      </c>
      <c r="I510" s="2" t="e">
        <f>IF(#REF!&lt;17200,DISTÂNCIA3[[#This Row],[KM PARA PAGAMENTO DOS FRETES]]*4.74,((#REF!/17200)*4.74)*DISTÂNCIA3[[#This Row],[KM PARA PAGAMENTO DOS FRETES]])</f>
        <v>#REF!</v>
      </c>
      <c r="J510" s="4">
        <f>DISTÂNCIA3[[#This Row],[Valor CTE]]/DISTÂNCIA3[[#This Row],[KM PARA PAGAMENTO DOS FRETES]]</f>
        <v>5.7837142857142858</v>
      </c>
      <c r="K510" s="6">
        <f t="shared" si="18"/>
        <v>514.9</v>
      </c>
      <c r="L510" s="6">
        <f>0.92*DISTÂNCIA3[[#This Row],[KM distancia]]*4.578</f>
        <v>294.82320000000004</v>
      </c>
      <c r="M510" s="6">
        <f t="shared" si="19"/>
        <v>809.72</v>
      </c>
    </row>
    <row r="511" spans="1:13" hidden="1" x14ac:dyDescent="0.35">
      <c r="A511">
        <f>'DASE DADOS - DISTANCIA'!A511</f>
        <v>2342316</v>
      </c>
      <c r="B511" t="str">
        <f>'DASE DADOS - DISTANCIA'!B511</f>
        <v>NERIO LUIS CONRAT</v>
      </c>
      <c r="C511" t="str">
        <f>'DASE DADOS - DISTANCIA'!C511</f>
        <v xml:space="preserve"> A4</v>
      </c>
      <c r="D511" t="str">
        <f>'DASE DADOS - DISTANCIA'!E511</f>
        <v>TOLEDO</v>
      </c>
      <c r="E511" t="str">
        <f>'DASE DADOS - DISTANCIA'!I511</f>
        <v>PLUMA</v>
      </c>
      <c r="F511" s="7">
        <v>70</v>
      </c>
      <c r="G511">
        <f>'DASE DADOS - DISTANCIA'!J511</f>
        <v>140</v>
      </c>
      <c r="H511" s="2">
        <v>420</v>
      </c>
      <c r="I511" s="2" t="e">
        <f>IF(#REF!&lt;17200,DISTÂNCIA3[[#This Row],[KM PARA PAGAMENTO DOS FRETES]]*4.74,((#REF!/17200)*4.74)*DISTÂNCIA3[[#This Row],[KM PARA PAGAMENTO DOS FRETES]])</f>
        <v>#REF!</v>
      </c>
      <c r="J511" s="4">
        <f>DISTÂNCIA3[[#This Row],[Valor CTE]]/DISTÂNCIA3[[#This Row],[KM PARA PAGAMENTO DOS FRETES]]</f>
        <v>5.7837142857142858</v>
      </c>
      <c r="K511" s="6">
        <f t="shared" si="18"/>
        <v>514.9</v>
      </c>
      <c r="L511" s="6">
        <f>0.92*DISTÂNCIA3[[#This Row],[KM distancia]]*4.578</f>
        <v>294.82320000000004</v>
      </c>
      <c r="M511" s="6">
        <f t="shared" si="19"/>
        <v>809.72</v>
      </c>
    </row>
    <row r="512" spans="1:13" hidden="1" x14ac:dyDescent="0.35">
      <c r="A512">
        <f>'DASE DADOS - DISTANCIA'!A512</f>
        <v>2342316</v>
      </c>
      <c r="B512" t="str">
        <f>'DASE DADOS - DISTANCIA'!B512</f>
        <v>NERIO LUIS CONRAT</v>
      </c>
      <c r="C512" t="str">
        <f>'DASE DADOS - DISTANCIA'!C512</f>
        <v xml:space="preserve"> A5</v>
      </c>
      <c r="D512" t="str">
        <f>'DASE DADOS - DISTANCIA'!E512</f>
        <v>TOLEDO</v>
      </c>
      <c r="E512" t="str">
        <f>'DASE DADOS - DISTANCIA'!I512</f>
        <v>PLUMA</v>
      </c>
      <c r="F512" s="7">
        <v>70</v>
      </c>
      <c r="G512">
        <f>'DASE DADOS - DISTANCIA'!J512</f>
        <v>140</v>
      </c>
      <c r="H512" s="2">
        <v>420</v>
      </c>
      <c r="I512" s="2" t="e">
        <f>IF(#REF!&lt;17200,DISTÂNCIA3[[#This Row],[KM PARA PAGAMENTO DOS FRETES]]*4.74,((#REF!/17200)*4.74)*DISTÂNCIA3[[#This Row],[KM PARA PAGAMENTO DOS FRETES]])</f>
        <v>#REF!</v>
      </c>
      <c r="J512" s="4">
        <f>DISTÂNCIA3[[#This Row],[Valor CTE]]/DISTÂNCIA3[[#This Row],[KM PARA PAGAMENTO DOS FRETES]]</f>
        <v>5.7837142857142858</v>
      </c>
      <c r="K512" s="6">
        <f t="shared" si="18"/>
        <v>514.9</v>
      </c>
      <c r="L512" s="6">
        <f>0.92*DISTÂNCIA3[[#This Row],[KM distancia]]*4.578</f>
        <v>294.82320000000004</v>
      </c>
      <c r="M512" s="6">
        <f t="shared" si="19"/>
        <v>809.72</v>
      </c>
    </row>
    <row r="513" spans="1:13" hidden="1" x14ac:dyDescent="0.35">
      <c r="A513">
        <f>'DASE DADOS - DISTANCIA'!A513</f>
        <v>2342316</v>
      </c>
      <c r="B513" t="str">
        <f>'DASE DADOS - DISTANCIA'!B513</f>
        <v>NERIO LUIS CONRAT</v>
      </c>
      <c r="C513" t="str">
        <f>'DASE DADOS - DISTANCIA'!C513</f>
        <v xml:space="preserve"> A6</v>
      </c>
      <c r="D513" t="str">
        <f>'DASE DADOS - DISTANCIA'!E513</f>
        <v>TOLEDO</v>
      </c>
      <c r="E513" t="str">
        <f>'DASE DADOS - DISTANCIA'!I513</f>
        <v>PLUMA</v>
      </c>
      <c r="F513" s="7">
        <v>70</v>
      </c>
      <c r="G513">
        <f>'DASE DADOS - DISTANCIA'!J513</f>
        <v>140</v>
      </c>
      <c r="H513" s="2">
        <v>420</v>
      </c>
      <c r="I513" s="2" t="e">
        <f>IF(#REF!&lt;17200,DISTÂNCIA3[[#This Row],[KM PARA PAGAMENTO DOS FRETES]]*4.74,((#REF!/17200)*4.74)*DISTÂNCIA3[[#This Row],[KM PARA PAGAMENTO DOS FRETES]])</f>
        <v>#REF!</v>
      </c>
      <c r="J513" s="4">
        <f>DISTÂNCIA3[[#This Row],[Valor CTE]]/DISTÂNCIA3[[#This Row],[KM PARA PAGAMENTO DOS FRETES]]</f>
        <v>5.7837142857142858</v>
      </c>
      <c r="K513" s="6">
        <f t="shared" si="18"/>
        <v>514.9</v>
      </c>
      <c r="L513" s="6">
        <f>0.92*DISTÂNCIA3[[#This Row],[KM distancia]]*4.578</f>
        <v>294.82320000000004</v>
      </c>
      <c r="M513" s="6">
        <f t="shared" si="19"/>
        <v>809.72</v>
      </c>
    </row>
    <row r="514" spans="1:13" hidden="1" x14ac:dyDescent="0.35">
      <c r="A514">
        <f>'DASE DADOS - DISTANCIA'!A514</f>
        <v>2342316</v>
      </c>
      <c r="B514" t="str">
        <f>'DASE DADOS - DISTANCIA'!B514</f>
        <v>NERIO LUIS CONRAT</v>
      </c>
      <c r="C514" t="str">
        <f>'DASE DADOS - DISTANCIA'!C514</f>
        <v xml:space="preserve"> A8</v>
      </c>
      <c r="D514" t="str">
        <f>'DASE DADOS - DISTANCIA'!E514</f>
        <v>TOLEDO</v>
      </c>
      <c r="E514" t="str">
        <f>'DASE DADOS - DISTANCIA'!I514</f>
        <v>PLUMA</v>
      </c>
      <c r="F514" s="7">
        <v>70</v>
      </c>
      <c r="G514">
        <f>'DASE DADOS - DISTANCIA'!J514</f>
        <v>140</v>
      </c>
      <c r="H514" s="2">
        <v>420</v>
      </c>
      <c r="I514" s="2" t="e">
        <f>IF(#REF!&lt;17200,DISTÂNCIA3[[#This Row],[KM PARA PAGAMENTO DOS FRETES]]*4.74,((#REF!/17200)*4.74)*DISTÂNCIA3[[#This Row],[KM PARA PAGAMENTO DOS FRETES]])</f>
        <v>#REF!</v>
      </c>
      <c r="J514" s="4">
        <f>DISTÂNCIA3[[#This Row],[Valor CTE]]/DISTÂNCIA3[[#This Row],[KM PARA PAGAMENTO DOS FRETES]]</f>
        <v>5.7837142857142858</v>
      </c>
      <c r="K514" s="6">
        <f t="shared" ref="K514:K577" si="20">ROUND((F514*4.578)+194.44,2)</f>
        <v>514.9</v>
      </c>
      <c r="L514" s="6">
        <f>0.92*DISTÂNCIA3[[#This Row],[KM distancia]]*4.578</f>
        <v>294.82320000000004</v>
      </c>
      <c r="M514" s="6">
        <f t="shared" si="19"/>
        <v>809.72</v>
      </c>
    </row>
    <row r="515" spans="1:13" hidden="1" x14ac:dyDescent="0.35">
      <c r="A515">
        <f>'DASE DADOS - DISTANCIA'!A515</f>
        <v>2342316</v>
      </c>
      <c r="B515" t="str">
        <f>'DASE DADOS - DISTANCIA'!B515</f>
        <v>NERIO LUIS CONRAT</v>
      </c>
      <c r="C515" t="str">
        <f>'DASE DADOS - DISTANCIA'!C515</f>
        <v xml:space="preserve"> A7</v>
      </c>
      <c r="D515" t="str">
        <f>'DASE DADOS - DISTANCIA'!E515</f>
        <v>TOLEDO</v>
      </c>
      <c r="E515" t="str">
        <f>'DASE DADOS - DISTANCIA'!I515</f>
        <v>PLUMA</v>
      </c>
      <c r="F515" s="7">
        <v>70</v>
      </c>
      <c r="G515">
        <f>'DASE DADOS - DISTANCIA'!J515</f>
        <v>140</v>
      </c>
      <c r="H515" s="2">
        <v>420</v>
      </c>
      <c r="I515" s="2" t="e">
        <f>IF(#REF!&lt;17200,DISTÂNCIA3[[#This Row],[KM PARA PAGAMENTO DOS FRETES]]*4.74,((#REF!/17200)*4.74)*DISTÂNCIA3[[#This Row],[KM PARA PAGAMENTO DOS FRETES]])</f>
        <v>#REF!</v>
      </c>
      <c r="J515" s="4">
        <f>DISTÂNCIA3[[#This Row],[Valor CTE]]/DISTÂNCIA3[[#This Row],[KM PARA PAGAMENTO DOS FRETES]]</f>
        <v>5.7837142857142858</v>
      </c>
      <c r="K515" s="6">
        <f t="shared" si="20"/>
        <v>514.9</v>
      </c>
      <c r="L515" s="6">
        <f>0.92*DISTÂNCIA3[[#This Row],[KM distancia]]*4.578</f>
        <v>294.82320000000004</v>
      </c>
      <c r="M515" s="6">
        <f t="shared" ref="M515:M578" si="21">ROUND(((F515*4.578)+194.44)+(0.92*F515*4.578),2)</f>
        <v>809.72</v>
      </c>
    </row>
    <row r="516" spans="1:13" hidden="1" x14ac:dyDescent="0.35">
      <c r="A516">
        <f>'DASE DADOS - DISTANCIA'!A516</f>
        <v>2251124</v>
      </c>
      <c r="B516" t="str">
        <f>'DASE DADOS - DISTANCIA'!B516</f>
        <v>NESTOR ANTONIO BOGORNI</v>
      </c>
      <c r="C516" t="str">
        <f>'DASE DADOS - DISTANCIA'!C516</f>
        <v xml:space="preserve"> A1</v>
      </c>
      <c r="D516" t="str">
        <f>'DASE DADOS - DISTANCIA'!E516</f>
        <v>TOLEDO</v>
      </c>
      <c r="E516" t="str">
        <f>'DASE DADOS - DISTANCIA'!I516</f>
        <v>PLUMA</v>
      </c>
      <c r="F516" s="7">
        <v>63</v>
      </c>
      <c r="G516">
        <f>'DASE DADOS - DISTANCIA'!J516</f>
        <v>126</v>
      </c>
      <c r="H516" s="2">
        <v>420</v>
      </c>
      <c r="I516" s="2" t="e">
        <f>IF(#REF!&lt;17200,DISTÂNCIA3[[#This Row],[KM PARA PAGAMENTO DOS FRETES]]*4.74,((#REF!/17200)*4.74)*DISTÂNCIA3[[#This Row],[KM PARA PAGAMENTO DOS FRETES]])</f>
        <v>#REF!</v>
      </c>
      <c r="J516" s="4">
        <f>DISTÂNCIA3[[#This Row],[Valor CTE]]/DISTÂNCIA3[[#This Row],[KM PARA PAGAMENTO DOS FRETES]]</f>
        <v>5.9380158730158739</v>
      </c>
      <c r="K516" s="6">
        <f t="shared" si="20"/>
        <v>482.85</v>
      </c>
      <c r="L516" s="6">
        <f>0.92*DISTÂNCIA3[[#This Row],[KM distancia]]*4.578</f>
        <v>265.34088000000003</v>
      </c>
      <c r="M516" s="6">
        <f t="shared" si="21"/>
        <v>748.19</v>
      </c>
    </row>
    <row r="517" spans="1:13" hidden="1" x14ac:dyDescent="0.35">
      <c r="A517">
        <f>'DASE DADOS - DISTANCIA'!A517</f>
        <v>2251124</v>
      </c>
      <c r="B517" t="str">
        <f>'DASE DADOS - DISTANCIA'!B517</f>
        <v>NESTOR ANTONIO BOGORNI</v>
      </c>
      <c r="C517" t="str">
        <f>'DASE DADOS - DISTANCIA'!C517</f>
        <v xml:space="preserve"> A4</v>
      </c>
      <c r="D517" t="str">
        <f>'DASE DADOS - DISTANCIA'!E517</f>
        <v>TOLEDO</v>
      </c>
      <c r="E517" t="str">
        <f>'DASE DADOS - DISTANCIA'!I517</f>
        <v>PLUMA</v>
      </c>
      <c r="F517" s="7">
        <v>63</v>
      </c>
      <c r="G517">
        <f>'DASE DADOS - DISTANCIA'!J517</f>
        <v>126</v>
      </c>
      <c r="H517" s="2">
        <v>420</v>
      </c>
      <c r="I517" s="2" t="e">
        <f>IF(#REF!&lt;17200,DISTÂNCIA3[[#This Row],[KM PARA PAGAMENTO DOS FRETES]]*4.74,((#REF!/17200)*4.74)*DISTÂNCIA3[[#This Row],[KM PARA PAGAMENTO DOS FRETES]])</f>
        <v>#REF!</v>
      </c>
      <c r="J517" s="4">
        <f>DISTÂNCIA3[[#This Row],[Valor CTE]]/DISTÂNCIA3[[#This Row],[KM PARA PAGAMENTO DOS FRETES]]</f>
        <v>5.9380158730158739</v>
      </c>
      <c r="K517" s="6">
        <f t="shared" si="20"/>
        <v>482.85</v>
      </c>
      <c r="L517" s="6">
        <f>0.92*DISTÂNCIA3[[#This Row],[KM distancia]]*4.578</f>
        <v>265.34088000000003</v>
      </c>
      <c r="M517" s="6">
        <f t="shared" si="21"/>
        <v>748.19</v>
      </c>
    </row>
    <row r="518" spans="1:13" hidden="1" x14ac:dyDescent="0.35">
      <c r="A518">
        <f>'DASE DADOS - DISTANCIA'!A518</f>
        <v>2251124</v>
      </c>
      <c r="B518" t="str">
        <f>'DASE DADOS - DISTANCIA'!B518</f>
        <v>NESTOR ANTONIO BOGORNI</v>
      </c>
      <c r="C518" t="str">
        <f>'DASE DADOS - DISTANCIA'!C518</f>
        <v xml:space="preserve"> A2</v>
      </c>
      <c r="D518" t="str">
        <f>'DASE DADOS - DISTANCIA'!E518</f>
        <v>TOLEDO</v>
      </c>
      <c r="E518" t="str">
        <f>'DASE DADOS - DISTANCIA'!I518</f>
        <v>PLUMA</v>
      </c>
      <c r="F518" s="7">
        <v>63</v>
      </c>
      <c r="G518">
        <f>'DASE DADOS - DISTANCIA'!J518</f>
        <v>126</v>
      </c>
      <c r="H518" s="2">
        <v>420</v>
      </c>
      <c r="I518" s="2" t="e">
        <f>IF(#REF!&lt;17200,DISTÂNCIA3[[#This Row],[KM PARA PAGAMENTO DOS FRETES]]*4.74,((#REF!/17200)*4.74)*DISTÂNCIA3[[#This Row],[KM PARA PAGAMENTO DOS FRETES]])</f>
        <v>#REF!</v>
      </c>
      <c r="J518" s="4">
        <f>DISTÂNCIA3[[#This Row],[Valor CTE]]/DISTÂNCIA3[[#This Row],[KM PARA PAGAMENTO DOS FRETES]]</f>
        <v>5.9380158730158739</v>
      </c>
      <c r="K518" s="6">
        <f t="shared" si="20"/>
        <v>482.85</v>
      </c>
      <c r="L518" s="6">
        <f>0.92*DISTÂNCIA3[[#This Row],[KM distancia]]*4.578</f>
        <v>265.34088000000003</v>
      </c>
      <c r="M518" s="6">
        <f t="shared" si="21"/>
        <v>748.19</v>
      </c>
    </row>
    <row r="519" spans="1:13" hidden="1" x14ac:dyDescent="0.35">
      <c r="A519">
        <f>'DASE DADOS - DISTANCIA'!A519</f>
        <v>2251124</v>
      </c>
      <c r="B519" t="str">
        <f>'DASE DADOS - DISTANCIA'!B519</f>
        <v>NESTOR ANTONIO BOGORNI</v>
      </c>
      <c r="C519" t="str">
        <f>'DASE DADOS - DISTANCIA'!C519</f>
        <v xml:space="preserve"> A3</v>
      </c>
      <c r="D519" t="str">
        <f>'DASE DADOS - DISTANCIA'!E519</f>
        <v>TOLEDO</v>
      </c>
      <c r="E519" t="str">
        <f>'DASE DADOS - DISTANCIA'!I519</f>
        <v>PLUMA</v>
      </c>
      <c r="F519" s="7">
        <v>63</v>
      </c>
      <c r="G519">
        <f>'DASE DADOS - DISTANCIA'!J519</f>
        <v>126</v>
      </c>
      <c r="H519" s="2">
        <v>420</v>
      </c>
      <c r="I519" s="2" t="e">
        <f>IF(#REF!&lt;17200,DISTÂNCIA3[[#This Row],[KM PARA PAGAMENTO DOS FRETES]]*4.74,((#REF!/17200)*4.74)*DISTÂNCIA3[[#This Row],[KM PARA PAGAMENTO DOS FRETES]])</f>
        <v>#REF!</v>
      </c>
      <c r="J519" s="4">
        <f>DISTÂNCIA3[[#This Row],[Valor CTE]]/DISTÂNCIA3[[#This Row],[KM PARA PAGAMENTO DOS FRETES]]</f>
        <v>5.9380158730158739</v>
      </c>
      <c r="K519" s="6">
        <f t="shared" si="20"/>
        <v>482.85</v>
      </c>
      <c r="L519" s="6">
        <f>0.92*DISTÂNCIA3[[#This Row],[KM distancia]]*4.578</f>
        <v>265.34088000000003</v>
      </c>
      <c r="M519" s="6">
        <f t="shared" si="21"/>
        <v>748.19</v>
      </c>
    </row>
    <row r="520" spans="1:13" hidden="1" x14ac:dyDescent="0.35">
      <c r="A520">
        <f>'DASE DADOS - DISTANCIA'!A520</f>
        <v>5854768</v>
      </c>
      <c r="B520" t="str">
        <f>'DASE DADOS - DISTANCIA'!B520</f>
        <v>NEVIDON LUIS REHBEIN</v>
      </c>
      <c r="C520" t="str">
        <f>'DASE DADOS - DISTANCIA'!C520</f>
        <v xml:space="preserve"> A1</v>
      </c>
      <c r="D520" t="str">
        <f>'DASE DADOS - DISTANCIA'!E520</f>
        <v>NOVA SANTA ROSA</v>
      </c>
      <c r="E520" t="str">
        <f>'DASE DADOS - DISTANCIA'!I520</f>
        <v>PLUMA</v>
      </c>
      <c r="F520" s="7">
        <v>91.5</v>
      </c>
      <c r="G520">
        <f>'DASE DADOS - DISTANCIA'!J520</f>
        <v>183</v>
      </c>
      <c r="H520" s="2">
        <v>420</v>
      </c>
      <c r="I520" s="2" t="e">
        <f>IF(#REF!&lt;17200,DISTÂNCIA3[[#This Row],[KM PARA PAGAMENTO DOS FRETES]]*4.74,((#REF!/17200)*4.74)*DISTÂNCIA3[[#This Row],[KM PARA PAGAMENTO DOS FRETES]])</f>
        <v>#REF!</v>
      </c>
      <c r="J520" s="4">
        <f>DISTÂNCIA3[[#This Row],[Valor CTE]]/DISTÂNCIA3[[#This Row],[KM PARA PAGAMENTO DOS FRETES]]</f>
        <v>5.4573770491803284</v>
      </c>
      <c r="K520" s="6">
        <f t="shared" si="20"/>
        <v>613.33000000000004</v>
      </c>
      <c r="L520" s="6">
        <f>0.92*DISTÂNCIA3[[#This Row],[KM distancia]]*4.578</f>
        <v>385.37604000000005</v>
      </c>
      <c r="M520" s="6">
        <f t="shared" si="21"/>
        <v>998.7</v>
      </c>
    </row>
    <row r="521" spans="1:13" hidden="1" x14ac:dyDescent="0.35">
      <c r="A521">
        <f>'DASE DADOS - DISTANCIA'!A521</f>
        <v>0</v>
      </c>
      <c r="B521" t="str">
        <f>'DASE DADOS - DISTANCIA'!B521</f>
        <v>MARCELO AUGUSTO GIBBERT</v>
      </c>
      <c r="C521" t="str">
        <f>'DASE DADOS - DISTANCIA'!C521</f>
        <v>A1</v>
      </c>
      <c r="D521" t="str">
        <f>'DASE DADOS - DISTANCIA'!E521</f>
        <v>TOLEDO</v>
      </c>
      <c r="E521" t="str">
        <f>'DASE DADOS - DISTANCIA'!I521</f>
        <v>PLUMA</v>
      </c>
      <c r="F521" s="7">
        <v>74</v>
      </c>
      <c r="G521">
        <f>'DASE DADOS - DISTANCIA'!J521</f>
        <v>148</v>
      </c>
      <c r="H521" s="2">
        <v>420</v>
      </c>
      <c r="I521" s="2" t="e">
        <f>IF(#REF!&lt;17200,DISTÂNCIA3[[#This Row],[KM PARA PAGAMENTO DOS FRETES]]*4.74,((#REF!/17200)*4.74)*DISTÂNCIA3[[#This Row],[KM PARA PAGAMENTO DOS FRETES]])</f>
        <v>#REF!</v>
      </c>
      <c r="J521" s="4">
        <f>DISTÂNCIA3[[#This Row],[Valor CTE]]/DISTÂNCIA3[[#This Row],[KM PARA PAGAMENTO DOS FRETES]]</f>
        <v>5.7086486486486487</v>
      </c>
      <c r="K521" s="6">
        <f t="shared" si="20"/>
        <v>533.21</v>
      </c>
      <c r="L521" s="6">
        <f>0.92*DISTÂNCIA3[[#This Row],[KM distancia]]*4.578</f>
        <v>311.67024000000004</v>
      </c>
      <c r="M521" s="6">
        <f t="shared" si="21"/>
        <v>844.88</v>
      </c>
    </row>
    <row r="522" spans="1:13" hidden="1" x14ac:dyDescent="0.35">
      <c r="A522">
        <f>'DASE DADOS - DISTANCIA'!A522</f>
        <v>5370540</v>
      </c>
      <c r="B522" t="str">
        <f>'DASE DADOS - DISTANCIA'!B522</f>
        <v>NEZIO MAGALHAES</v>
      </c>
      <c r="C522" t="str">
        <f>'DASE DADOS - DISTANCIA'!C522</f>
        <v xml:space="preserve"> A1</v>
      </c>
      <c r="D522" t="str">
        <f>'DASE DADOS - DISTANCIA'!E522</f>
        <v>CASCAVEL</v>
      </c>
      <c r="E522" t="str">
        <f>'DASE DADOS - DISTANCIA'!I522</f>
        <v>PLUMA</v>
      </c>
      <c r="F522" s="7">
        <v>16</v>
      </c>
      <c r="G522">
        <f>'DASE DADOS - DISTANCIA'!J522</f>
        <v>32</v>
      </c>
      <c r="H522" s="2">
        <v>420</v>
      </c>
      <c r="I522" s="2" t="e">
        <f>IF(#REF!&lt;17200,DISTÂNCIA3[[#This Row],[KM PARA PAGAMENTO DOS FRETES]]*4.74,((#REF!/17200)*4.74)*DISTÂNCIA3[[#This Row],[KM PARA PAGAMENTO DOS FRETES]])</f>
        <v>#REF!</v>
      </c>
      <c r="J522" s="4">
        <f>DISTÂNCIA3[[#This Row],[Valor CTE]]/DISTÂNCIA3[[#This Row],[KM PARA PAGAMENTO DOS FRETES]]</f>
        <v>10.47125</v>
      </c>
      <c r="K522" s="6">
        <f t="shared" si="20"/>
        <v>267.69</v>
      </c>
      <c r="L522" s="6">
        <f>0.92*DISTÂNCIA3[[#This Row],[KM distancia]]*4.578</f>
        <v>67.388160000000013</v>
      </c>
      <c r="M522" s="6">
        <f t="shared" si="21"/>
        <v>335.08</v>
      </c>
    </row>
    <row r="523" spans="1:13" hidden="1" x14ac:dyDescent="0.35">
      <c r="A523">
        <f>'DASE DADOS - DISTANCIA'!A523</f>
        <v>0</v>
      </c>
      <c r="B523" t="str">
        <f>'DASE DADOS - DISTANCIA'!B523</f>
        <v>MARCELO AUGUSTO GIBBERT</v>
      </c>
      <c r="C523" t="str">
        <f>'DASE DADOS - DISTANCIA'!C523</f>
        <v>A2</v>
      </c>
      <c r="D523" t="str">
        <f>'DASE DADOS - DISTANCIA'!E523</f>
        <v>TOLEDO</v>
      </c>
      <c r="E523" t="str">
        <f>'DASE DADOS - DISTANCIA'!I523</f>
        <v>PLUMA</v>
      </c>
      <c r="F523" s="7">
        <v>74</v>
      </c>
      <c r="G523">
        <f>'DASE DADOS - DISTANCIA'!J523</f>
        <v>148</v>
      </c>
      <c r="H523" s="2">
        <v>420</v>
      </c>
      <c r="I523" s="2" t="e">
        <f>IF(#REF!&lt;17200,DISTÂNCIA3[[#This Row],[KM PARA PAGAMENTO DOS FRETES]]*4.74,((#REF!/17200)*4.74)*DISTÂNCIA3[[#This Row],[KM PARA PAGAMENTO DOS FRETES]])</f>
        <v>#REF!</v>
      </c>
      <c r="J523" s="4">
        <f>DISTÂNCIA3[[#This Row],[Valor CTE]]/DISTÂNCIA3[[#This Row],[KM PARA PAGAMENTO DOS FRETES]]</f>
        <v>5.7086486486486487</v>
      </c>
      <c r="K523" s="6">
        <f t="shared" si="20"/>
        <v>533.21</v>
      </c>
      <c r="L523" s="6">
        <f>0.92*DISTÂNCIA3[[#This Row],[KM distancia]]*4.578</f>
        <v>311.67024000000004</v>
      </c>
      <c r="M523" s="6">
        <f t="shared" si="21"/>
        <v>844.88</v>
      </c>
    </row>
    <row r="524" spans="1:13" hidden="1" x14ac:dyDescent="0.35">
      <c r="A524">
        <f>'DASE DADOS - DISTANCIA'!A524</f>
        <v>0</v>
      </c>
      <c r="B524" t="str">
        <f>'DASE DADOS - DISTANCIA'!B524</f>
        <v>MARCELINO PEDROSO</v>
      </c>
      <c r="C524" t="str">
        <f>'DASE DADOS - DISTANCIA'!C524</f>
        <v xml:space="preserve"> A1</v>
      </c>
      <c r="D524" t="str">
        <f>'DASE DADOS - DISTANCIA'!E524</f>
        <v>PLANALTO</v>
      </c>
      <c r="E524" t="str">
        <f>'DASE DADOS - DISTANCIA'!I524</f>
        <v>PLUSVAL</v>
      </c>
      <c r="F524" s="7">
        <v>140</v>
      </c>
      <c r="G524">
        <v>280</v>
      </c>
      <c r="H524" s="2">
        <v>420</v>
      </c>
      <c r="I524" s="2" t="e">
        <f>IF(#REF!&lt;17200,DISTÂNCIA3[[#This Row],[KM PARA PAGAMENTO DOS FRETES]]*4.74,((#REF!/17200)*4.74)*DISTÂNCIA3[[#This Row],[KM PARA PAGAMENTO DOS FRETES]])</f>
        <v>#REF!</v>
      </c>
      <c r="J524" s="4">
        <f>DISTÂNCIA3[[#This Row],[Valor CTE]]/DISTÂNCIA3[[#This Row],[KM PARA PAGAMENTO DOS FRETES]]</f>
        <v>5.0893214285714281</v>
      </c>
      <c r="K524" s="6">
        <f t="shared" si="20"/>
        <v>835.36</v>
      </c>
      <c r="L524" s="6">
        <f>0.92*DISTÂNCIA3[[#This Row],[KM distancia]]*4.578</f>
        <v>589.64640000000009</v>
      </c>
      <c r="M524" s="6">
        <f t="shared" si="21"/>
        <v>1425.01</v>
      </c>
    </row>
    <row r="525" spans="1:13" hidden="1" x14ac:dyDescent="0.35">
      <c r="A525">
        <f>'DASE DADOS - DISTANCIA'!A525</f>
        <v>0</v>
      </c>
      <c r="B525" t="str">
        <f>'DASE DADOS - DISTANCIA'!B525</f>
        <v>MARCELO AUGUSTO GIBBERT</v>
      </c>
      <c r="C525" t="str">
        <f>'DASE DADOS - DISTANCIA'!C525</f>
        <v>A3</v>
      </c>
      <c r="D525" t="str">
        <f>'DASE DADOS - DISTANCIA'!E525</f>
        <v>TOLEDO</v>
      </c>
      <c r="E525" t="str">
        <f>'DASE DADOS - DISTANCIA'!I525</f>
        <v>PLUMA</v>
      </c>
      <c r="F525" s="7">
        <v>74</v>
      </c>
      <c r="G525">
        <f>'DASE DADOS - DISTANCIA'!J525</f>
        <v>148</v>
      </c>
      <c r="H525" s="2">
        <v>420</v>
      </c>
      <c r="I525" s="2" t="e">
        <f>IF(#REF!&lt;17200,DISTÂNCIA3[[#This Row],[KM PARA PAGAMENTO DOS FRETES]]*4.74,((#REF!/17200)*4.74)*DISTÂNCIA3[[#This Row],[KM PARA PAGAMENTO DOS FRETES]])</f>
        <v>#REF!</v>
      </c>
      <c r="J525" s="4">
        <f>DISTÂNCIA3[[#This Row],[Valor CTE]]/DISTÂNCIA3[[#This Row],[KM PARA PAGAMENTO DOS FRETES]]</f>
        <v>5.7086486486486487</v>
      </c>
      <c r="K525" s="6">
        <f t="shared" si="20"/>
        <v>533.21</v>
      </c>
      <c r="L525" s="6">
        <f>0.92*DISTÂNCIA3[[#This Row],[KM distancia]]*4.578</f>
        <v>311.67024000000004</v>
      </c>
      <c r="M525" s="6">
        <f t="shared" si="21"/>
        <v>844.88</v>
      </c>
    </row>
    <row r="526" spans="1:13" hidden="1" x14ac:dyDescent="0.35">
      <c r="A526">
        <f>'DASE DADOS - DISTANCIA'!A526</f>
        <v>6422306</v>
      </c>
      <c r="B526" t="str">
        <f>'DASE DADOS - DISTANCIA'!B526</f>
        <v>NILSON APARECIDO DA SILVA</v>
      </c>
      <c r="C526" t="str">
        <f>'DASE DADOS - DISTANCIA'!C526</f>
        <v xml:space="preserve"> A1</v>
      </c>
      <c r="D526" t="str">
        <f>'DASE DADOS - DISTANCIA'!E526</f>
        <v>VERA CRUZ DO OESTE</v>
      </c>
      <c r="E526" t="str">
        <f>'DASE DADOS - DISTANCIA'!I526</f>
        <v>PLUMA</v>
      </c>
      <c r="F526" s="7">
        <v>51</v>
      </c>
      <c r="G526">
        <f>'DASE DADOS - DISTANCIA'!J526</f>
        <v>102</v>
      </c>
      <c r="H526" s="2">
        <v>420</v>
      </c>
      <c r="I526" s="2" t="e">
        <f>IF(#REF!&lt;17200,DISTÂNCIA3[[#This Row],[KM PARA PAGAMENTO DOS FRETES]]*4.74,((#REF!/17200)*4.74)*DISTÂNCIA3[[#This Row],[KM PARA PAGAMENTO DOS FRETES]])</f>
        <v>#REF!</v>
      </c>
      <c r="J526" s="4">
        <f>DISTÂNCIA3[[#This Row],[Valor CTE]]/DISTÂNCIA3[[#This Row],[KM PARA PAGAMENTO DOS FRETES]]</f>
        <v>6.3011764705882358</v>
      </c>
      <c r="K526" s="6">
        <f t="shared" si="20"/>
        <v>427.92</v>
      </c>
      <c r="L526" s="6">
        <f>0.92*DISTÂNCIA3[[#This Row],[KM distancia]]*4.578</f>
        <v>214.79976000000002</v>
      </c>
      <c r="M526" s="6">
        <f t="shared" si="21"/>
        <v>642.72</v>
      </c>
    </row>
    <row r="527" spans="1:13" hidden="1" x14ac:dyDescent="0.35">
      <c r="A527">
        <f>'DASE DADOS - DISTANCIA'!A527</f>
        <v>0</v>
      </c>
      <c r="B527" t="str">
        <f>'DASE DADOS - DISTANCIA'!B527</f>
        <v>MARCELO AUGUSTO GIBBERT</v>
      </c>
      <c r="C527" t="str">
        <f>'DASE DADOS - DISTANCIA'!C527</f>
        <v>A4</v>
      </c>
      <c r="D527" t="str">
        <f>'DASE DADOS - DISTANCIA'!E527</f>
        <v>TOLEDO</v>
      </c>
      <c r="E527" t="str">
        <f>'DASE DADOS - DISTANCIA'!I527</f>
        <v>PLUMA</v>
      </c>
      <c r="F527" s="7">
        <v>74</v>
      </c>
      <c r="G527">
        <f>'DASE DADOS - DISTANCIA'!J527</f>
        <v>148</v>
      </c>
      <c r="H527" s="2">
        <v>420</v>
      </c>
      <c r="I527" s="2" t="e">
        <f>IF(#REF!&lt;17200,DISTÂNCIA3[[#This Row],[KM PARA PAGAMENTO DOS FRETES]]*4.74,((#REF!/17200)*4.74)*DISTÂNCIA3[[#This Row],[KM PARA PAGAMENTO DOS FRETES]])</f>
        <v>#REF!</v>
      </c>
      <c r="J527" s="4">
        <f>DISTÂNCIA3[[#This Row],[Valor CTE]]/DISTÂNCIA3[[#This Row],[KM PARA PAGAMENTO DOS FRETES]]</f>
        <v>5.7086486486486487</v>
      </c>
      <c r="K527" s="6">
        <f t="shared" si="20"/>
        <v>533.21</v>
      </c>
      <c r="L527" s="6">
        <f>0.92*DISTÂNCIA3[[#This Row],[KM distancia]]*4.578</f>
        <v>311.67024000000004</v>
      </c>
      <c r="M527" s="6">
        <f t="shared" si="21"/>
        <v>844.88</v>
      </c>
    </row>
    <row r="528" spans="1:13" hidden="1" x14ac:dyDescent="0.35">
      <c r="A528">
        <f>'DASE DADOS - DISTANCIA'!A528</f>
        <v>6422306</v>
      </c>
      <c r="B528" t="str">
        <f>'DASE DADOS - DISTANCIA'!B528</f>
        <v>NILSON APARECIDO DA SILVA</v>
      </c>
      <c r="C528" t="str">
        <f>'DASE DADOS - DISTANCIA'!C528</f>
        <v xml:space="preserve"> A2</v>
      </c>
      <c r="D528" t="str">
        <f>'DASE DADOS - DISTANCIA'!E528</f>
        <v>VERA CRUZ DO OESTE</v>
      </c>
      <c r="E528" t="str">
        <f>'DASE DADOS - DISTANCIA'!I528</f>
        <v>PLUMA</v>
      </c>
      <c r="F528" s="7">
        <v>51</v>
      </c>
      <c r="G528">
        <f>'DASE DADOS - DISTANCIA'!J528</f>
        <v>102</v>
      </c>
      <c r="H528" s="2">
        <v>420</v>
      </c>
      <c r="I528" s="2" t="e">
        <f>IF(#REF!&lt;17200,DISTÂNCIA3[[#This Row],[KM PARA PAGAMENTO DOS FRETES]]*4.74,((#REF!/17200)*4.74)*DISTÂNCIA3[[#This Row],[KM PARA PAGAMENTO DOS FRETES]])</f>
        <v>#REF!</v>
      </c>
      <c r="J528" s="4">
        <f>DISTÂNCIA3[[#This Row],[Valor CTE]]/DISTÂNCIA3[[#This Row],[KM PARA PAGAMENTO DOS FRETES]]</f>
        <v>6.3011764705882358</v>
      </c>
      <c r="K528" s="6">
        <f t="shared" si="20"/>
        <v>427.92</v>
      </c>
      <c r="L528" s="6">
        <f>0.92*DISTÂNCIA3[[#This Row],[KM distancia]]*4.578</f>
        <v>214.79976000000002</v>
      </c>
      <c r="M528" s="6">
        <f t="shared" si="21"/>
        <v>642.72</v>
      </c>
    </row>
    <row r="529" spans="1:13" hidden="1" x14ac:dyDescent="0.35">
      <c r="A529">
        <f>'DASE DADOS - DISTANCIA'!A529</f>
        <v>0</v>
      </c>
      <c r="B529" t="str">
        <f>'DASE DADOS - DISTANCIA'!B529</f>
        <v>MAYARA CRISTINA DE S. RIBEIRO</v>
      </c>
      <c r="C529" t="str">
        <f>'DASE DADOS - DISTANCIA'!C529</f>
        <v xml:space="preserve"> A3</v>
      </c>
      <c r="D529" t="str">
        <f>'DASE DADOS - DISTANCIA'!E529</f>
        <v>TUPASSI</v>
      </c>
      <c r="E529" t="str">
        <f>'DASE DADOS - DISTANCIA'!I529</f>
        <v>PLUMA</v>
      </c>
      <c r="F529" s="7">
        <v>58</v>
      </c>
      <c r="G529">
        <f>'DASE DADOS - DISTANCIA'!J529</f>
        <v>116</v>
      </c>
      <c r="H529" s="2">
        <v>420</v>
      </c>
      <c r="I529" s="2" t="e">
        <f>IF(#REF!&lt;17200,DISTÂNCIA3[[#This Row],[KM PARA PAGAMENTO DOS FRETES]]*4.74,((#REF!/17200)*4.74)*DISTÂNCIA3[[#This Row],[KM PARA PAGAMENTO DOS FRETES]])</f>
        <v>#REF!</v>
      </c>
      <c r="J529" s="4">
        <f>DISTÂNCIA3[[#This Row],[Valor CTE]]/DISTÂNCIA3[[#This Row],[KM PARA PAGAMENTO DOS FRETES]]</f>
        <v>6.0711206896551726</v>
      </c>
      <c r="K529" s="6">
        <f t="shared" si="20"/>
        <v>459.96</v>
      </c>
      <c r="L529" s="6">
        <f>0.92*DISTÂNCIA3[[#This Row],[KM distancia]]*4.578</f>
        <v>244.28208000000001</v>
      </c>
      <c r="M529" s="6">
        <f t="shared" si="21"/>
        <v>704.25</v>
      </c>
    </row>
    <row r="530" spans="1:13" hidden="1" x14ac:dyDescent="0.35">
      <c r="A530">
        <f>'DASE DADOS - DISTANCIA'!A530</f>
        <v>0</v>
      </c>
      <c r="B530" t="str">
        <f>'DASE DADOS - DISTANCIA'!B530</f>
        <v>MAYARA CRISTINA DE S. RIBEIRO</v>
      </c>
      <c r="C530" t="str">
        <f>'DASE DADOS - DISTANCIA'!C530</f>
        <v xml:space="preserve"> A4</v>
      </c>
      <c r="D530" t="str">
        <f>'DASE DADOS - DISTANCIA'!E530</f>
        <v>TUPASSI</v>
      </c>
      <c r="E530" t="str">
        <f>'DASE DADOS - DISTANCIA'!I530</f>
        <v>PLUMA</v>
      </c>
      <c r="F530" s="7">
        <v>58</v>
      </c>
      <c r="G530">
        <f>'DASE DADOS - DISTANCIA'!J530</f>
        <v>116</v>
      </c>
      <c r="H530" s="2">
        <v>420</v>
      </c>
      <c r="I530" s="2" t="e">
        <f>IF(#REF!&lt;17200,DISTÂNCIA3[[#This Row],[KM PARA PAGAMENTO DOS FRETES]]*4.74,((#REF!/17200)*4.74)*DISTÂNCIA3[[#This Row],[KM PARA PAGAMENTO DOS FRETES]])</f>
        <v>#REF!</v>
      </c>
      <c r="J530" s="4">
        <f>DISTÂNCIA3[[#This Row],[Valor CTE]]/DISTÂNCIA3[[#This Row],[KM PARA PAGAMENTO DOS FRETES]]</f>
        <v>6.0711206896551726</v>
      </c>
      <c r="K530" s="6">
        <f t="shared" si="20"/>
        <v>459.96</v>
      </c>
      <c r="L530" s="6">
        <f>0.92*DISTÂNCIA3[[#This Row],[KM distancia]]*4.578</f>
        <v>244.28208000000001</v>
      </c>
      <c r="M530" s="6">
        <f t="shared" si="21"/>
        <v>704.25</v>
      </c>
    </row>
    <row r="531" spans="1:13" hidden="1" x14ac:dyDescent="0.35">
      <c r="A531">
        <f>'DASE DADOS - DISTANCIA'!A531</f>
        <v>0</v>
      </c>
      <c r="B531" t="str">
        <f>'DASE DADOS - DISTANCIA'!B531</f>
        <v>MEIRI PRISCILA RUPPENTHAL</v>
      </c>
      <c r="C531" t="str">
        <f>'DASE DADOS - DISTANCIA'!C531</f>
        <v xml:space="preserve"> A2</v>
      </c>
      <c r="D531" t="str">
        <f>'DASE DADOS - DISTANCIA'!E531</f>
        <v>MARECHAL CANDIDO RONDON</v>
      </c>
      <c r="E531" t="str">
        <f>'DASE DADOS - DISTANCIA'!I531</f>
        <v>PLUMA</v>
      </c>
      <c r="F531" s="7">
        <v>105</v>
      </c>
      <c r="G531">
        <f>'DASE DADOS - DISTANCIA'!J531</f>
        <v>210</v>
      </c>
      <c r="H531" s="2">
        <v>420</v>
      </c>
      <c r="I531" s="2" t="e">
        <f>IF(#REF!&lt;17200,DISTÂNCIA3[[#This Row],[KM PARA PAGAMENTO DOS FRETES]]*4.74,((#REF!/17200)*4.74)*DISTÂNCIA3[[#This Row],[KM PARA PAGAMENTO DOS FRETES]])</f>
        <v>#REF!</v>
      </c>
      <c r="J531" s="4">
        <f>DISTÂNCIA3[[#This Row],[Valor CTE]]/DISTÂNCIA3[[#This Row],[KM PARA PAGAMENTO DOS FRETES]]</f>
        <v>5.3207619047619046</v>
      </c>
      <c r="K531" s="6">
        <f t="shared" si="20"/>
        <v>675.13</v>
      </c>
      <c r="L531" s="6">
        <f>0.92*DISTÂNCIA3[[#This Row],[KM distancia]]*4.578</f>
        <v>442.23480000000006</v>
      </c>
      <c r="M531" s="6">
        <f t="shared" si="21"/>
        <v>1117.3599999999999</v>
      </c>
    </row>
    <row r="532" spans="1:13" hidden="1" x14ac:dyDescent="0.35">
      <c r="A532">
        <f>'DASE DADOS - DISTANCIA'!A532</f>
        <v>69620</v>
      </c>
      <c r="B532" t="str">
        <f>'DASE DADOS - DISTANCIA'!B532</f>
        <v>MARCIO RODRIGO LOTHERMANN</v>
      </c>
      <c r="C532" t="str">
        <f>'DASE DADOS - DISTANCIA'!C532</f>
        <v>A1</v>
      </c>
      <c r="D532" t="str">
        <f>'DASE DADOS - DISTANCIA'!E532</f>
        <v>CAPANEMA</v>
      </c>
      <c r="E532" t="str">
        <f>'DASE DADOS - DISTANCIA'!I532</f>
        <v>PLUSVAL</v>
      </c>
      <c r="F532" s="7">
        <v>101</v>
      </c>
      <c r="G532">
        <f>'DASE DADOS - DISTANCIA'!J532</f>
        <v>202</v>
      </c>
      <c r="H532" s="2">
        <v>420</v>
      </c>
      <c r="I532" s="2" t="e">
        <f>IF(#REF!&lt;17200,DISTÂNCIA3[[#This Row],[KM PARA PAGAMENTO DOS FRETES]]*4.74,((#REF!/17200)*4.74)*DISTÂNCIA3[[#This Row],[KM PARA PAGAMENTO DOS FRETES]])</f>
        <v>#REF!</v>
      </c>
      <c r="J532" s="4">
        <f>DISTÂNCIA3[[#This Row],[Valor CTE]]/DISTÂNCIA3[[#This Row],[KM PARA PAGAMENTO DOS FRETES]]</f>
        <v>5.3574752475247527</v>
      </c>
      <c r="K532" s="6">
        <f t="shared" si="20"/>
        <v>656.82</v>
      </c>
      <c r="L532" s="6">
        <f>0.92*DISTÂNCIA3[[#This Row],[KM distancia]]*4.578</f>
        <v>425.38776000000001</v>
      </c>
      <c r="M532" s="6">
        <f t="shared" si="21"/>
        <v>1082.21</v>
      </c>
    </row>
    <row r="533" spans="1:13" hidden="1" x14ac:dyDescent="0.35">
      <c r="A533">
        <f>'DASE DADOS - DISTANCIA'!A533</f>
        <v>0</v>
      </c>
      <c r="B533" t="str">
        <f>'DASE DADOS - DISTANCIA'!B533</f>
        <v>MEIRI PRISCILA RUPPENTHAL</v>
      </c>
      <c r="C533" t="str">
        <f>'DASE DADOS - DISTANCIA'!C533</f>
        <v xml:space="preserve"> A1</v>
      </c>
      <c r="D533" t="str">
        <f>'DASE DADOS - DISTANCIA'!E533</f>
        <v>MARECHAL CANDIDO RONDON</v>
      </c>
      <c r="E533" t="str">
        <f>'DASE DADOS - DISTANCIA'!I533</f>
        <v>PLUMA</v>
      </c>
      <c r="F533" s="7">
        <v>105</v>
      </c>
      <c r="G533">
        <f>'DASE DADOS - DISTANCIA'!J533</f>
        <v>210</v>
      </c>
      <c r="H533" s="2">
        <v>420</v>
      </c>
      <c r="I533" s="2" t="e">
        <f>IF(#REF!&lt;17200,DISTÂNCIA3[[#This Row],[KM PARA PAGAMENTO DOS FRETES]]*4.74,((#REF!/17200)*4.74)*DISTÂNCIA3[[#This Row],[KM PARA PAGAMENTO DOS FRETES]])</f>
        <v>#REF!</v>
      </c>
      <c r="J533" s="4">
        <f>DISTÂNCIA3[[#This Row],[Valor CTE]]/DISTÂNCIA3[[#This Row],[KM PARA PAGAMENTO DOS FRETES]]</f>
        <v>5.3207619047619046</v>
      </c>
      <c r="K533" s="6">
        <f t="shared" si="20"/>
        <v>675.13</v>
      </c>
      <c r="L533" s="6">
        <f>0.92*DISTÂNCIA3[[#This Row],[KM distancia]]*4.578</f>
        <v>442.23480000000006</v>
      </c>
      <c r="M533" s="6">
        <f t="shared" si="21"/>
        <v>1117.3599999999999</v>
      </c>
    </row>
    <row r="534" spans="1:13" hidden="1" x14ac:dyDescent="0.35">
      <c r="A534">
        <f>'DASE DADOS - DISTANCIA'!A534</f>
        <v>69620</v>
      </c>
      <c r="B534" t="str">
        <f>'DASE DADOS - DISTANCIA'!B534</f>
        <v>MARCIO RODRIGO LOTHERMANN</v>
      </c>
      <c r="C534" t="str">
        <f>'DASE DADOS - DISTANCIA'!C534</f>
        <v>A2</v>
      </c>
      <c r="D534" t="str">
        <f>'DASE DADOS - DISTANCIA'!E534</f>
        <v>CAPANEMA</v>
      </c>
      <c r="E534" t="str">
        <f>'DASE DADOS - DISTANCIA'!I534</f>
        <v>PLUSVAL</v>
      </c>
      <c r="F534" s="7">
        <v>101</v>
      </c>
      <c r="G534">
        <f>'DASE DADOS - DISTANCIA'!J534</f>
        <v>202</v>
      </c>
      <c r="H534" s="2">
        <v>420</v>
      </c>
      <c r="I534" s="2" t="e">
        <f>IF(#REF!&lt;17200,DISTÂNCIA3[[#This Row],[KM PARA PAGAMENTO DOS FRETES]]*4.74,((#REF!/17200)*4.74)*DISTÂNCIA3[[#This Row],[KM PARA PAGAMENTO DOS FRETES]])</f>
        <v>#REF!</v>
      </c>
      <c r="J534" s="4">
        <f>DISTÂNCIA3[[#This Row],[Valor CTE]]/DISTÂNCIA3[[#This Row],[KM PARA PAGAMENTO DOS FRETES]]</f>
        <v>5.3574752475247527</v>
      </c>
      <c r="K534" s="6">
        <f t="shared" si="20"/>
        <v>656.82</v>
      </c>
      <c r="L534" s="6">
        <f>0.92*DISTÂNCIA3[[#This Row],[KM distancia]]*4.578</f>
        <v>425.38776000000001</v>
      </c>
      <c r="M534" s="6">
        <f t="shared" si="21"/>
        <v>1082.21</v>
      </c>
    </row>
    <row r="535" spans="1:13" hidden="1" x14ac:dyDescent="0.35">
      <c r="A535">
        <f>'DASE DADOS - DISTANCIA'!A535</f>
        <v>69620</v>
      </c>
      <c r="B535" t="str">
        <f>'DASE DADOS - DISTANCIA'!B535</f>
        <v>MARCIO RODRIGO LOTHERMANN</v>
      </c>
      <c r="C535" t="str">
        <f>'DASE DADOS - DISTANCIA'!C535</f>
        <v>A3</v>
      </c>
      <c r="D535" t="str">
        <f>'DASE DADOS - DISTANCIA'!E535</f>
        <v>CAPANEMA</v>
      </c>
      <c r="E535" t="str">
        <f>'DASE DADOS - DISTANCIA'!I535</f>
        <v>PLUSVAL</v>
      </c>
      <c r="F535" s="7">
        <v>101</v>
      </c>
      <c r="G535">
        <f>'DASE DADOS - DISTANCIA'!J535</f>
        <v>202</v>
      </c>
      <c r="H535" s="2">
        <v>420</v>
      </c>
      <c r="I535" s="2" t="e">
        <f>IF(#REF!&lt;17200,DISTÂNCIA3[[#This Row],[KM PARA PAGAMENTO DOS FRETES]]*4.74,((#REF!/17200)*4.74)*DISTÂNCIA3[[#This Row],[KM PARA PAGAMENTO DOS FRETES]])</f>
        <v>#REF!</v>
      </c>
      <c r="J535" s="4">
        <f>DISTÂNCIA3[[#This Row],[Valor CTE]]/DISTÂNCIA3[[#This Row],[KM PARA PAGAMENTO DOS FRETES]]</f>
        <v>5.3574752475247527</v>
      </c>
      <c r="K535" s="6">
        <f t="shared" si="20"/>
        <v>656.82</v>
      </c>
      <c r="L535" s="6">
        <f>0.92*DISTÂNCIA3[[#This Row],[KM distancia]]*4.578</f>
        <v>425.38776000000001</v>
      </c>
      <c r="M535" s="6">
        <f t="shared" si="21"/>
        <v>1082.21</v>
      </c>
    </row>
    <row r="536" spans="1:13" hidden="1" x14ac:dyDescent="0.35">
      <c r="A536">
        <f>'DASE DADOS - DISTANCIA'!A536</f>
        <v>5726247</v>
      </c>
      <c r="B536" t="str">
        <f>'DASE DADOS - DISTANCIA'!B536</f>
        <v>NILTO BARABA JUNIOR</v>
      </c>
      <c r="C536" t="str">
        <f>'DASE DADOS - DISTANCIA'!C536</f>
        <v xml:space="preserve"> A1</v>
      </c>
      <c r="D536" t="str">
        <f>'DASE DADOS - DISTANCIA'!E536</f>
        <v>CASCAVEL</v>
      </c>
      <c r="E536" t="str">
        <f>'DASE DADOS - DISTANCIA'!I536</f>
        <v>PLUMA</v>
      </c>
      <c r="F536" s="7">
        <v>36</v>
      </c>
      <c r="G536">
        <f>'DASE DADOS - DISTANCIA'!J536</f>
        <v>72</v>
      </c>
      <c r="H536" s="2">
        <v>420</v>
      </c>
      <c r="I536" s="2" t="e">
        <f>IF(#REF!&lt;17200,DISTÂNCIA3[[#This Row],[KM PARA PAGAMENTO DOS FRETES]]*4.74,((#REF!/17200)*4.74)*DISTÂNCIA3[[#This Row],[KM PARA PAGAMENTO DOS FRETES]])</f>
        <v>#REF!</v>
      </c>
      <c r="J536" s="4">
        <f>DISTÂNCIA3[[#This Row],[Valor CTE]]/DISTÂNCIA3[[#This Row],[KM PARA PAGAMENTO DOS FRETES]]</f>
        <v>7.0954166666666669</v>
      </c>
      <c r="K536" s="6">
        <f t="shared" si="20"/>
        <v>359.25</v>
      </c>
      <c r="L536" s="6">
        <f>0.92*DISTÂNCIA3[[#This Row],[KM distancia]]*4.578</f>
        <v>151.62336000000002</v>
      </c>
      <c r="M536" s="6">
        <f t="shared" si="21"/>
        <v>510.87</v>
      </c>
    </row>
    <row r="537" spans="1:13" hidden="1" x14ac:dyDescent="0.35">
      <c r="A537">
        <f>'DASE DADOS - DISTANCIA'!A537</f>
        <v>0</v>
      </c>
      <c r="B537" t="str">
        <f>'DASE DADOS - DISTANCIA'!B537</f>
        <v>MILTON APARECIDO HEREK</v>
      </c>
      <c r="C537" t="str">
        <f>'DASE DADOS - DISTANCIA'!C537</f>
        <v xml:space="preserve"> A1</v>
      </c>
      <c r="D537" t="str">
        <f>'DASE DADOS - DISTANCIA'!E537</f>
        <v>TOLEDO</v>
      </c>
      <c r="E537" t="str">
        <f>'DASE DADOS - DISTANCIA'!I537</f>
        <v>PLUMA</v>
      </c>
      <c r="F537" s="7">
        <v>68.5</v>
      </c>
      <c r="G537">
        <f>'DASE DADOS - DISTANCIA'!J537</f>
        <v>137</v>
      </c>
      <c r="H537" s="2">
        <v>420</v>
      </c>
      <c r="I537" s="2" t="e">
        <f>IF(#REF!&lt;17200,DISTÂNCIA3[[#This Row],[KM PARA PAGAMENTO DOS FRETES]]*4.74,((#REF!/17200)*4.74)*DISTÂNCIA3[[#This Row],[KM PARA PAGAMENTO DOS FRETES]])</f>
        <v>#REF!</v>
      </c>
      <c r="J537" s="4">
        <f>DISTÂNCIA3[[#This Row],[Valor CTE]]/DISTÂNCIA3[[#This Row],[KM PARA PAGAMENTO DOS FRETES]]</f>
        <v>5.8141605839416055</v>
      </c>
      <c r="K537" s="6">
        <f t="shared" si="20"/>
        <v>508.03</v>
      </c>
      <c r="L537" s="6">
        <f>0.92*DISTÂNCIA3[[#This Row],[KM distancia]]*4.578</f>
        <v>288.50556000000006</v>
      </c>
      <c r="M537" s="6">
        <f t="shared" si="21"/>
        <v>796.54</v>
      </c>
    </row>
    <row r="538" spans="1:13" hidden="1" x14ac:dyDescent="0.35">
      <c r="A538">
        <f>'DASE DADOS - DISTANCIA'!A538</f>
        <v>4619030</v>
      </c>
      <c r="B538" t="str">
        <f>'DASE DADOS - DISTANCIA'!B538</f>
        <v>ORLANDO ORBEN KRAIESKI</v>
      </c>
      <c r="C538" t="str">
        <f>'DASE DADOS - DISTANCIA'!C538</f>
        <v xml:space="preserve"> A1</v>
      </c>
      <c r="D538" t="str">
        <f>'DASE DADOS - DISTANCIA'!E538</f>
        <v>VERA CRUZ DO OESTE</v>
      </c>
      <c r="E538" t="str">
        <f>'DASE DADOS - DISTANCIA'!I538</f>
        <v>PLUMA</v>
      </c>
      <c r="F538" s="7">
        <v>48.5</v>
      </c>
      <c r="G538">
        <f>'DASE DADOS - DISTANCIA'!J538</f>
        <v>97</v>
      </c>
      <c r="H538" s="2">
        <v>420</v>
      </c>
      <c r="I538" s="2" t="e">
        <f>IF(#REF!&lt;17200,DISTÂNCIA3[[#This Row],[KM PARA PAGAMENTO DOS FRETES]]*4.74,((#REF!/17200)*4.74)*DISTÂNCIA3[[#This Row],[KM PARA PAGAMENTO DOS FRETES]])</f>
        <v>#REF!</v>
      </c>
      <c r="J538" s="4">
        <f>DISTÂNCIA3[[#This Row],[Valor CTE]]/DISTÂNCIA3[[#This Row],[KM PARA PAGAMENTO DOS FRETES]]</f>
        <v>6.3993814432989691</v>
      </c>
      <c r="K538" s="6">
        <f t="shared" si="20"/>
        <v>416.47</v>
      </c>
      <c r="L538" s="6">
        <f>0.92*DISTÂNCIA3[[#This Row],[KM distancia]]*4.578</f>
        <v>204.27036000000004</v>
      </c>
      <c r="M538" s="6">
        <f t="shared" si="21"/>
        <v>620.74</v>
      </c>
    </row>
    <row r="539" spans="1:13" hidden="1" x14ac:dyDescent="0.35">
      <c r="A539">
        <f>'DASE DADOS - DISTANCIA'!A539</f>
        <v>5769310</v>
      </c>
      <c r="B539" t="str">
        <f>'DASE DADOS - DISTANCIA'!B539</f>
        <v>OSMAR ROMEU ENGLERT</v>
      </c>
      <c r="C539" t="str">
        <f>'DASE DADOS - DISTANCIA'!C539</f>
        <v xml:space="preserve"> A1</v>
      </c>
      <c r="D539" t="str">
        <f>'DASE DADOS - DISTANCIA'!E539</f>
        <v>NOVA SANTA ROSA</v>
      </c>
      <c r="E539" t="str">
        <f>'DASE DADOS - DISTANCIA'!I539</f>
        <v>PLUMA</v>
      </c>
      <c r="F539" s="7">
        <v>110</v>
      </c>
      <c r="G539">
        <f>'DASE DADOS - DISTANCIA'!J539</f>
        <v>220</v>
      </c>
      <c r="H539" s="2">
        <v>420</v>
      </c>
      <c r="I539" s="2" t="e">
        <f>IF(#REF!&lt;17200,DISTÂNCIA3[[#This Row],[KM PARA PAGAMENTO DOS FRETES]]*4.74,((#REF!/17200)*4.74)*DISTÂNCIA3[[#This Row],[KM PARA PAGAMENTO DOS FRETES]])</f>
        <v>#REF!</v>
      </c>
      <c r="J539" s="4">
        <f>DISTÂNCIA3[[#This Row],[Valor CTE]]/DISTÂNCIA3[[#This Row],[KM PARA PAGAMENTO DOS FRETES]]</f>
        <v>5.278681818181818</v>
      </c>
      <c r="K539" s="6">
        <f t="shared" si="20"/>
        <v>698.02</v>
      </c>
      <c r="L539" s="6">
        <f>0.92*DISTÂNCIA3[[#This Row],[KM distancia]]*4.578</f>
        <v>463.29360000000003</v>
      </c>
      <c r="M539" s="6">
        <f t="shared" si="21"/>
        <v>1161.31</v>
      </c>
    </row>
    <row r="540" spans="1:13" hidden="1" x14ac:dyDescent="0.35">
      <c r="A540">
        <f>'DASE DADOS - DISTANCIA'!A540</f>
        <v>4886399</v>
      </c>
      <c r="B540" t="str">
        <f>'DASE DADOS - DISTANCIA'!B540</f>
        <v>OTTO ALFREDO SCHNEIDER</v>
      </c>
      <c r="C540" t="str">
        <f>'DASE DADOS - DISTANCIA'!C540</f>
        <v xml:space="preserve"> A1</v>
      </c>
      <c r="D540" t="str">
        <f>'DASE DADOS - DISTANCIA'!E540</f>
        <v>TOLEDO</v>
      </c>
      <c r="E540" t="str">
        <f>'DASE DADOS - DISTANCIA'!I540</f>
        <v>PLUMA</v>
      </c>
      <c r="F540" s="7">
        <v>78</v>
      </c>
      <c r="G540">
        <f>'DASE DADOS - DISTANCIA'!J540</f>
        <v>156</v>
      </c>
      <c r="H540" s="2">
        <v>420</v>
      </c>
      <c r="I540" s="2" t="e">
        <f>IF(#REF!&lt;17200,DISTÂNCIA3[[#This Row],[KM PARA PAGAMENTO DOS FRETES]]*4.74,((#REF!/17200)*4.74)*DISTÂNCIA3[[#This Row],[KM PARA PAGAMENTO DOS FRETES]])</f>
        <v>#REF!</v>
      </c>
      <c r="J540" s="4">
        <f>DISTÂNCIA3[[#This Row],[Valor CTE]]/DISTÂNCIA3[[#This Row],[KM PARA PAGAMENTO DOS FRETES]]</f>
        <v>5.641282051282051</v>
      </c>
      <c r="K540" s="6">
        <f t="shared" si="20"/>
        <v>551.52</v>
      </c>
      <c r="L540" s="6">
        <f>0.92*DISTÂNCIA3[[#This Row],[KM distancia]]*4.578</f>
        <v>328.51728000000003</v>
      </c>
      <c r="M540" s="6">
        <f t="shared" si="21"/>
        <v>880.04</v>
      </c>
    </row>
    <row r="541" spans="1:13" hidden="1" x14ac:dyDescent="0.35">
      <c r="A541">
        <f>'DASE DADOS - DISTANCIA'!A541</f>
        <v>30344</v>
      </c>
      <c r="B541" t="str">
        <f>'DASE DADOS - DISTANCIA'!B541</f>
        <v>PAULO FERNANDO L. ORSO</v>
      </c>
      <c r="C541" t="str">
        <f>'DASE DADOS - DISTANCIA'!C541</f>
        <v xml:space="preserve"> A3</v>
      </c>
      <c r="D541" t="str">
        <f>'DASE DADOS - DISTANCIA'!E541</f>
        <v>CAPANEMA</v>
      </c>
      <c r="E541" t="str">
        <f>'DASE DADOS - DISTANCIA'!I541</f>
        <v>PLUSVAL</v>
      </c>
      <c r="F541" s="7">
        <v>104</v>
      </c>
      <c r="G541">
        <f>'DASE DADOS - DISTANCIA'!J541</f>
        <v>208</v>
      </c>
      <c r="H541" s="2">
        <v>420</v>
      </c>
      <c r="I541" s="2" t="e">
        <f>IF(#REF!&lt;17200,DISTÂNCIA3[[#This Row],[KM PARA PAGAMENTO DOS FRETES]]*4.74,((#REF!/17200)*4.74)*DISTÂNCIA3[[#This Row],[KM PARA PAGAMENTO DOS FRETES]])</f>
        <v>#REF!</v>
      </c>
      <c r="J541" s="4">
        <f>DISTÂNCIA3[[#This Row],[Valor CTE]]/DISTÂNCIA3[[#This Row],[KM PARA PAGAMENTO DOS FRETES]]</f>
        <v>5.3297115384615381</v>
      </c>
      <c r="K541" s="6">
        <f t="shared" si="20"/>
        <v>670.55</v>
      </c>
      <c r="L541" s="6">
        <f>0.92*DISTÂNCIA3[[#This Row],[KM distancia]]*4.578</f>
        <v>438.02304000000004</v>
      </c>
      <c r="M541" s="6">
        <f t="shared" si="21"/>
        <v>1108.58</v>
      </c>
    </row>
    <row r="542" spans="1:13" hidden="1" x14ac:dyDescent="0.35">
      <c r="A542">
        <f>'DASE DADOS - DISTANCIA'!A542</f>
        <v>30344</v>
      </c>
      <c r="B542" t="str">
        <f>'DASE DADOS - DISTANCIA'!B542</f>
        <v>PAULO FERNANDO L. ORSO</v>
      </c>
      <c r="C542" t="str">
        <f>'DASE DADOS - DISTANCIA'!C542</f>
        <v xml:space="preserve"> A2</v>
      </c>
      <c r="D542" t="str">
        <f>'DASE DADOS - DISTANCIA'!E542</f>
        <v>CAPANEMA</v>
      </c>
      <c r="E542" t="str">
        <f>'DASE DADOS - DISTANCIA'!I542</f>
        <v>PLUSVAL</v>
      </c>
      <c r="F542" s="7">
        <v>104</v>
      </c>
      <c r="G542">
        <f>'DASE DADOS - DISTANCIA'!J542</f>
        <v>208</v>
      </c>
      <c r="H542" s="2">
        <v>420</v>
      </c>
      <c r="I542" s="2" t="e">
        <f>IF(#REF!&lt;17200,DISTÂNCIA3[[#This Row],[KM PARA PAGAMENTO DOS FRETES]]*4.74,((#REF!/17200)*4.74)*DISTÂNCIA3[[#This Row],[KM PARA PAGAMENTO DOS FRETES]])</f>
        <v>#REF!</v>
      </c>
      <c r="J542" s="4">
        <f>DISTÂNCIA3[[#This Row],[Valor CTE]]/DISTÂNCIA3[[#This Row],[KM PARA PAGAMENTO DOS FRETES]]</f>
        <v>5.3297115384615381</v>
      </c>
      <c r="K542" s="6">
        <f t="shared" si="20"/>
        <v>670.55</v>
      </c>
      <c r="L542" s="6">
        <f>0.92*DISTÂNCIA3[[#This Row],[KM distancia]]*4.578</f>
        <v>438.02304000000004</v>
      </c>
      <c r="M542" s="6">
        <f t="shared" si="21"/>
        <v>1108.58</v>
      </c>
    </row>
    <row r="543" spans="1:13" hidden="1" x14ac:dyDescent="0.35">
      <c r="A543">
        <f>'DASE DADOS - DISTANCIA'!A543</f>
        <v>30344</v>
      </c>
      <c r="B543" t="str">
        <f>'DASE DADOS - DISTANCIA'!B543</f>
        <v>PAULO FERNANDO L. ORSO</v>
      </c>
      <c r="C543" t="str">
        <f>'DASE DADOS - DISTANCIA'!C543</f>
        <v xml:space="preserve"> A1</v>
      </c>
      <c r="D543" t="str">
        <f>'DASE DADOS - DISTANCIA'!E543</f>
        <v>CAPANEMA</v>
      </c>
      <c r="E543" t="str">
        <f>'DASE DADOS - DISTANCIA'!I543</f>
        <v>PLUSVAL</v>
      </c>
      <c r="F543" s="7">
        <v>104</v>
      </c>
      <c r="G543">
        <f>'DASE DADOS - DISTANCIA'!J543</f>
        <v>208</v>
      </c>
      <c r="H543" s="2">
        <v>420</v>
      </c>
      <c r="I543" s="2" t="e">
        <f>IF(#REF!&lt;17200,DISTÂNCIA3[[#This Row],[KM PARA PAGAMENTO DOS FRETES]]*4.74,((#REF!/17200)*4.74)*DISTÂNCIA3[[#This Row],[KM PARA PAGAMENTO DOS FRETES]])</f>
        <v>#REF!</v>
      </c>
      <c r="J543" s="4">
        <f>DISTÂNCIA3[[#This Row],[Valor CTE]]/DISTÂNCIA3[[#This Row],[KM PARA PAGAMENTO DOS FRETES]]</f>
        <v>5.3297115384615381</v>
      </c>
      <c r="K543" s="6">
        <f t="shared" si="20"/>
        <v>670.55</v>
      </c>
      <c r="L543" s="6">
        <f>0.92*DISTÂNCIA3[[#This Row],[KM distancia]]*4.578</f>
        <v>438.02304000000004</v>
      </c>
      <c r="M543" s="6">
        <f t="shared" si="21"/>
        <v>1108.58</v>
      </c>
    </row>
    <row r="544" spans="1:13" hidden="1" x14ac:dyDescent="0.35">
      <c r="A544">
        <f>'DASE DADOS - DISTANCIA'!A544</f>
        <v>30088</v>
      </c>
      <c r="B544" t="str">
        <f>'DASE DADOS - DISTANCIA'!B544</f>
        <v>PEDRO WIECZOREK</v>
      </c>
      <c r="C544" t="str">
        <f>'DASE DADOS - DISTANCIA'!C544</f>
        <v xml:space="preserve"> A1</v>
      </c>
      <c r="D544" t="str">
        <f>'DASE DADOS - DISTANCIA'!E544</f>
        <v>CAPANEMA</v>
      </c>
      <c r="E544" t="str">
        <f>'DASE DADOS - DISTANCIA'!I544</f>
        <v>PLUSVAL</v>
      </c>
      <c r="F544" s="7">
        <v>121</v>
      </c>
      <c r="G544">
        <f>'DASE DADOS - DISTANCIA'!J544</f>
        <v>242</v>
      </c>
      <c r="H544" s="2">
        <v>420</v>
      </c>
      <c r="I544" s="2" t="e">
        <f>IF(#REF!&lt;17200,DISTÂNCIA3[[#This Row],[KM PARA PAGAMENTO DOS FRETES]]*4.74,((#REF!/17200)*4.74)*DISTÂNCIA3[[#This Row],[KM PARA PAGAMENTO DOS FRETES]])</f>
        <v>#REF!</v>
      </c>
      <c r="J544" s="4">
        <f>DISTÂNCIA3[[#This Row],[Valor CTE]]/DISTÂNCIA3[[#This Row],[KM PARA PAGAMENTO DOS FRETES]]</f>
        <v>5.1983471074380168</v>
      </c>
      <c r="K544" s="6">
        <f t="shared" si="20"/>
        <v>748.38</v>
      </c>
      <c r="L544" s="6">
        <f>0.92*DISTÂNCIA3[[#This Row],[KM distancia]]*4.578</f>
        <v>509.62296000000009</v>
      </c>
      <c r="M544" s="6">
        <f t="shared" si="21"/>
        <v>1258</v>
      </c>
    </row>
    <row r="545" spans="1:13" hidden="1" x14ac:dyDescent="0.35">
      <c r="A545">
        <f>'DASE DADOS - DISTANCIA'!A545</f>
        <v>5357500</v>
      </c>
      <c r="B545" t="str">
        <f>'DASE DADOS - DISTANCIA'!B545</f>
        <v>PRIMO FONTANELA</v>
      </c>
      <c r="C545" t="str">
        <f>'DASE DADOS - DISTANCIA'!C545</f>
        <v xml:space="preserve"> A1</v>
      </c>
      <c r="D545" t="str">
        <f>'DASE DADOS - DISTANCIA'!E545</f>
        <v>CASCAVEL</v>
      </c>
      <c r="E545" t="str">
        <f>'DASE DADOS - DISTANCIA'!I545</f>
        <v>PLUMA</v>
      </c>
      <c r="F545" s="7">
        <v>10</v>
      </c>
      <c r="G545">
        <f>'DASE DADOS - DISTANCIA'!J545</f>
        <v>20</v>
      </c>
      <c r="H545" s="2">
        <v>420</v>
      </c>
      <c r="I545" s="2" t="e">
        <f>IF(#REF!&lt;17200,DISTÂNCIA3[[#This Row],[KM PARA PAGAMENTO DOS FRETES]]*4.74,((#REF!/17200)*4.74)*DISTÂNCIA3[[#This Row],[KM PARA PAGAMENTO DOS FRETES]])</f>
        <v>#REF!</v>
      </c>
      <c r="J545" s="4">
        <f>DISTÂNCIA3[[#This Row],[Valor CTE]]/DISTÂNCIA3[[#This Row],[KM PARA PAGAMENTO DOS FRETES]]</f>
        <v>14.116999999999999</v>
      </c>
      <c r="K545" s="6">
        <f t="shared" si="20"/>
        <v>240.22</v>
      </c>
      <c r="L545" s="6">
        <f>0.92*DISTÂNCIA3[[#This Row],[KM distancia]]*4.578</f>
        <v>42.11760000000001</v>
      </c>
      <c r="M545" s="6">
        <f t="shared" si="21"/>
        <v>282.33999999999997</v>
      </c>
    </row>
    <row r="546" spans="1:13" hidden="1" x14ac:dyDescent="0.35">
      <c r="A546">
        <f>'DASE DADOS - DISTANCIA'!A546</f>
        <v>29908</v>
      </c>
      <c r="B546" t="str">
        <f>'DASE DADOS - DISTANCIA'!B546</f>
        <v>RAFAEL ALTISSIMO CHIAMOLERA</v>
      </c>
      <c r="C546" t="str">
        <f>'DASE DADOS - DISTANCIA'!C546</f>
        <v xml:space="preserve"> A1</v>
      </c>
      <c r="D546" t="str">
        <f>'DASE DADOS - DISTANCIA'!E546</f>
        <v>CAPANEMA</v>
      </c>
      <c r="E546" t="str">
        <f>'DASE DADOS - DISTANCIA'!I546</f>
        <v>PLUSVAL</v>
      </c>
      <c r="F546" s="7">
        <v>122</v>
      </c>
      <c r="G546">
        <f>'DASE DADOS - DISTANCIA'!J546</f>
        <v>244</v>
      </c>
      <c r="H546" s="2">
        <v>420</v>
      </c>
      <c r="I546" s="2" t="e">
        <f>IF(#REF!&lt;17200,DISTÂNCIA3[[#This Row],[KM PARA PAGAMENTO DOS FRETES]]*4.74,((#REF!/17200)*4.74)*DISTÂNCIA3[[#This Row],[KM PARA PAGAMENTO DOS FRETES]])</f>
        <v>#REF!</v>
      </c>
      <c r="J546" s="4">
        <f>DISTÂNCIA3[[#This Row],[Valor CTE]]/DISTÂNCIA3[[#This Row],[KM PARA PAGAMENTO DOS FRETES]]</f>
        <v>5.1917622950819666</v>
      </c>
      <c r="K546" s="6">
        <f t="shared" si="20"/>
        <v>752.96</v>
      </c>
      <c r="L546" s="6">
        <f>0.92*DISTÂNCIA3[[#This Row],[KM distancia]]*4.578</f>
        <v>513.83472000000006</v>
      </c>
      <c r="M546" s="6">
        <f t="shared" si="21"/>
        <v>1266.79</v>
      </c>
    </row>
    <row r="547" spans="1:13" hidden="1" x14ac:dyDescent="0.35">
      <c r="A547">
        <f>'DASE DADOS - DISTANCIA'!A547</f>
        <v>5369851</v>
      </c>
      <c r="B547" t="str">
        <f>'DASE DADOS - DISTANCIA'!B547</f>
        <v>REGINALDO MARQUES BORGES</v>
      </c>
      <c r="C547" t="str">
        <f>'DASE DADOS - DISTANCIA'!C547</f>
        <v xml:space="preserve"> A2</v>
      </c>
      <c r="D547" t="str">
        <f>'DASE DADOS - DISTANCIA'!E547</f>
        <v>TUPASSI</v>
      </c>
      <c r="E547" t="str">
        <f>'DASE DADOS - DISTANCIA'!I547</f>
        <v>PLUMA</v>
      </c>
      <c r="F547" s="7">
        <v>61</v>
      </c>
      <c r="G547">
        <f>'DASE DADOS - DISTANCIA'!J547</f>
        <v>122</v>
      </c>
      <c r="H547" s="2">
        <v>420</v>
      </c>
      <c r="I547" s="2" t="e">
        <f>IF(#REF!&lt;17200,DISTÂNCIA3[[#This Row],[KM PARA PAGAMENTO DOS FRETES]]*4.74,((#REF!/17200)*4.74)*DISTÂNCIA3[[#This Row],[KM PARA PAGAMENTO DOS FRETES]])</f>
        <v>#REF!</v>
      </c>
      <c r="J547" s="4">
        <f>DISTÂNCIA3[[#This Row],[Valor CTE]]/DISTÂNCIA3[[#This Row],[KM PARA PAGAMENTO DOS FRETES]]</f>
        <v>5.988688524590164</v>
      </c>
      <c r="K547" s="6">
        <f t="shared" si="20"/>
        <v>473.7</v>
      </c>
      <c r="L547" s="6">
        <f>0.92*DISTÂNCIA3[[#This Row],[KM distancia]]*4.578</f>
        <v>256.91736000000003</v>
      </c>
      <c r="M547" s="6">
        <f t="shared" si="21"/>
        <v>730.62</v>
      </c>
    </row>
    <row r="548" spans="1:13" hidden="1" x14ac:dyDescent="0.35">
      <c r="A548">
        <f>'DASE DADOS - DISTANCIA'!A548</f>
        <v>5369851</v>
      </c>
      <c r="B548" t="str">
        <f>'DASE DADOS - DISTANCIA'!B548</f>
        <v>REGINALDO MARQUES BORGES</v>
      </c>
      <c r="C548" t="str">
        <f>'DASE DADOS - DISTANCIA'!C548</f>
        <v xml:space="preserve"> A1</v>
      </c>
      <c r="D548" t="str">
        <f>'DASE DADOS - DISTANCIA'!E548</f>
        <v>TUPASSI</v>
      </c>
      <c r="E548" t="str">
        <f>'DASE DADOS - DISTANCIA'!I548</f>
        <v>PLUMA</v>
      </c>
      <c r="F548" s="7">
        <v>61</v>
      </c>
      <c r="G548">
        <f>'DASE DADOS - DISTANCIA'!J548</f>
        <v>122</v>
      </c>
      <c r="H548" s="2">
        <v>420</v>
      </c>
      <c r="I548" s="2" t="e">
        <f>IF(#REF!&lt;17200,DISTÂNCIA3[[#This Row],[KM PARA PAGAMENTO DOS FRETES]]*4.74,((#REF!/17200)*4.74)*DISTÂNCIA3[[#This Row],[KM PARA PAGAMENTO DOS FRETES]])</f>
        <v>#REF!</v>
      </c>
      <c r="J548" s="4">
        <f>DISTÂNCIA3[[#This Row],[Valor CTE]]/DISTÂNCIA3[[#This Row],[KM PARA PAGAMENTO DOS FRETES]]</f>
        <v>5.988688524590164</v>
      </c>
      <c r="K548" s="6">
        <f t="shared" si="20"/>
        <v>473.7</v>
      </c>
      <c r="L548" s="6">
        <f>0.92*DISTÂNCIA3[[#This Row],[KM distancia]]*4.578</f>
        <v>256.91736000000003</v>
      </c>
      <c r="M548" s="6">
        <f t="shared" si="21"/>
        <v>730.62</v>
      </c>
    </row>
    <row r="549" spans="1:13" hidden="1" x14ac:dyDescent="0.35">
      <c r="A549">
        <f>'DASE DADOS - DISTANCIA'!A549</f>
        <v>29906</v>
      </c>
      <c r="B549" t="str">
        <f>'DASE DADOS - DISTANCIA'!B549</f>
        <v>RENILDO ROTTA</v>
      </c>
      <c r="C549" t="str">
        <f>'DASE DADOS - DISTANCIA'!C549</f>
        <v xml:space="preserve"> A1</v>
      </c>
      <c r="D549" t="str">
        <f>'DASE DADOS - DISTANCIA'!E549</f>
        <v>TRÊS BARRAS DO PARANÁ</v>
      </c>
      <c r="E549" t="str">
        <f>'DASE DADOS - DISTANCIA'!I549</f>
        <v>PLUSVAL</v>
      </c>
      <c r="F549" s="7">
        <v>112</v>
      </c>
      <c r="G549">
        <f>'DASE DADOS - DISTANCIA'!J549</f>
        <v>224</v>
      </c>
      <c r="H549" s="2">
        <v>420</v>
      </c>
      <c r="I549" s="2" t="e">
        <f>IF(#REF!&lt;17200,DISTÂNCIA3[[#This Row],[KM PARA PAGAMENTO DOS FRETES]]*4.74,((#REF!/17200)*4.74)*DISTÂNCIA3[[#This Row],[KM PARA PAGAMENTO DOS FRETES]])</f>
        <v>#REF!</v>
      </c>
      <c r="J549" s="4">
        <f>DISTÂNCIA3[[#This Row],[Valor CTE]]/DISTÂNCIA3[[#This Row],[KM PARA PAGAMENTO DOS FRETES]]</f>
        <v>5.2629017857142859</v>
      </c>
      <c r="K549" s="6">
        <f t="shared" si="20"/>
        <v>707.18</v>
      </c>
      <c r="L549" s="6">
        <f>0.92*DISTÂNCIA3[[#This Row],[KM distancia]]*4.578</f>
        <v>471.71712000000008</v>
      </c>
      <c r="M549" s="6">
        <f t="shared" si="21"/>
        <v>1178.8900000000001</v>
      </c>
    </row>
    <row r="550" spans="1:13" hidden="1" x14ac:dyDescent="0.35">
      <c r="A550">
        <f>'DASE DADOS - DISTANCIA'!A550</f>
        <v>6049710</v>
      </c>
      <c r="B550" t="str">
        <f>'DASE DADOS - DISTANCIA'!B550</f>
        <v>RICARDO BATISTA FARIAS</v>
      </c>
      <c r="C550" t="str">
        <f>'DASE DADOS - DISTANCIA'!C550</f>
        <v xml:space="preserve"> A1</v>
      </c>
      <c r="D550" t="str">
        <f>'DASE DADOS - DISTANCIA'!E550</f>
        <v>TUPASSI</v>
      </c>
      <c r="E550" t="str">
        <f>'DASE DADOS - DISTANCIA'!I550</f>
        <v>PLUMA</v>
      </c>
      <c r="F550" s="7">
        <v>63</v>
      </c>
      <c r="G550">
        <f>'DASE DADOS - DISTANCIA'!J550</f>
        <v>126</v>
      </c>
      <c r="H550" s="2">
        <v>420</v>
      </c>
      <c r="I550" s="2" t="e">
        <f>IF(#REF!&lt;17200,DISTÂNCIA3[[#This Row],[KM PARA PAGAMENTO DOS FRETES]]*4.74,((#REF!/17200)*4.74)*DISTÂNCIA3[[#This Row],[KM PARA PAGAMENTO DOS FRETES]])</f>
        <v>#REF!</v>
      </c>
      <c r="J550" s="4">
        <f>DISTÂNCIA3[[#This Row],[Valor CTE]]/DISTÂNCIA3[[#This Row],[KM PARA PAGAMENTO DOS FRETES]]</f>
        <v>5.9380158730158739</v>
      </c>
      <c r="K550" s="6">
        <f t="shared" si="20"/>
        <v>482.85</v>
      </c>
      <c r="L550" s="6">
        <f>0.92*DISTÂNCIA3[[#This Row],[KM distancia]]*4.578</f>
        <v>265.34088000000003</v>
      </c>
      <c r="M550" s="6">
        <f t="shared" si="21"/>
        <v>748.19</v>
      </c>
    </row>
    <row r="551" spans="1:13" hidden="1" x14ac:dyDescent="0.35">
      <c r="A551">
        <f>'DASE DADOS - DISTANCIA'!A551</f>
        <v>6049710</v>
      </c>
      <c r="B551" t="str">
        <f>'DASE DADOS - DISTANCIA'!B551</f>
        <v>RICARDO BATISTA FARIAS</v>
      </c>
      <c r="C551" t="str">
        <f>'DASE DADOS - DISTANCIA'!C551</f>
        <v xml:space="preserve"> A3</v>
      </c>
      <c r="D551" t="str">
        <f>'DASE DADOS - DISTANCIA'!E551</f>
        <v>TUPASSI</v>
      </c>
      <c r="E551" t="str">
        <f>'DASE DADOS - DISTANCIA'!I551</f>
        <v>PLUMA</v>
      </c>
      <c r="F551" s="7">
        <v>63</v>
      </c>
      <c r="G551">
        <f>'DASE DADOS - DISTANCIA'!J551</f>
        <v>126</v>
      </c>
      <c r="H551" s="2">
        <v>420</v>
      </c>
      <c r="I551" s="2" t="e">
        <f>IF(#REF!&lt;17200,DISTÂNCIA3[[#This Row],[KM PARA PAGAMENTO DOS FRETES]]*4.74,((#REF!/17200)*4.74)*DISTÂNCIA3[[#This Row],[KM PARA PAGAMENTO DOS FRETES]])</f>
        <v>#REF!</v>
      </c>
      <c r="J551" s="4">
        <f>DISTÂNCIA3[[#This Row],[Valor CTE]]/DISTÂNCIA3[[#This Row],[KM PARA PAGAMENTO DOS FRETES]]</f>
        <v>5.9380158730158739</v>
      </c>
      <c r="K551" s="6">
        <f t="shared" si="20"/>
        <v>482.85</v>
      </c>
      <c r="L551" s="6">
        <f>0.92*DISTÂNCIA3[[#This Row],[KM distancia]]*4.578</f>
        <v>265.34088000000003</v>
      </c>
      <c r="M551" s="6">
        <f t="shared" si="21"/>
        <v>748.19</v>
      </c>
    </row>
    <row r="552" spans="1:13" hidden="1" x14ac:dyDescent="0.35">
      <c r="A552">
        <f>'DASE DADOS - DISTANCIA'!A552</f>
        <v>6049710</v>
      </c>
      <c r="B552" t="str">
        <f>'DASE DADOS - DISTANCIA'!B552</f>
        <v>RICARDO BATISTA FARIAS</v>
      </c>
      <c r="C552" t="str">
        <f>'DASE DADOS - DISTANCIA'!C552</f>
        <v xml:space="preserve"> A2</v>
      </c>
      <c r="D552" t="str">
        <f>'DASE DADOS - DISTANCIA'!E552</f>
        <v>TUPASSI</v>
      </c>
      <c r="E552" t="str">
        <f>'DASE DADOS - DISTANCIA'!I552</f>
        <v>PLUMA</v>
      </c>
      <c r="F552" s="7">
        <v>63</v>
      </c>
      <c r="G552">
        <f>'DASE DADOS - DISTANCIA'!J552</f>
        <v>126</v>
      </c>
      <c r="H552" s="2">
        <v>420</v>
      </c>
      <c r="I552" s="2" t="e">
        <f>IF(#REF!&lt;17200,DISTÂNCIA3[[#This Row],[KM PARA PAGAMENTO DOS FRETES]]*4.74,((#REF!/17200)*4.74)*DISTÂNCIA3[[#This Row],[KM PARA PAGAMENTO DOS FRETES]])</f>
        <v>#REF!</v>
      </c>
      <c r="J552" s="4">
        <f>DISTÂNCIA3[[#This Row],[Valor CTE]]/DISTÂNCIA3[[#This Row],[KM PARA PAGAMENTO DOS FRETES]]</f>
        <v>5.9380158730158739</v>
      </c>
      <c r="K552" s="6">
        <f t="shared" si="20"/>
        <v>482.85</v>
      </c>
      <c r="L552" s="6">
        <f>0.92*DISTÂNCIA3[[#This Row],[KM distancia]]*4.578</f>
        <v>265.34088000000003</v>
      </c>
      <c r="M552" s="6">
        <f t="shared" si="21"/>
        <v>748.19</v>
      </c>
    </row>
    <row r="553" spans="1:13" hidden="1" x14ac:dyDescent="0.35">
      <c r="A553">
        <f>'DASE DADOS - DISTANCIA'!A553</f>
        <v>6219993</v>
      </c>
      <c r="B553" t="str">
        <f>'DASE DADOS - DISTANCIA'!B553</f>
        <v>ROBERTO BICKEL</v>
      </c>
      <c r="C553" t="str">
        <f>'DASE DADOS - DISTANCIA'!C553</f>
        <v xml:space="preserve"> A3</v>
      </c>
      <c r="D553" t="str">
        <f>'DASE DADOS - DISTANCIA'!E553</f>
        <v>MARECHAL CANDIDO RONDON</v>
      </c>
      <c r="E553" t="str">
        <f>'DASE DADOS - DISTANCIA'!I553</f>
        <v>PLUMA</v>
      </c>
      <c r="F553" s="7">
        <v>93.5</v>
      </c>
      <c r="G553">
        <f>'DASE DADOS - DISTANCIA'!J553</f>
        <v>187</v>
      </c>
      <c r="H553" s="2">
        <v>420</v>
      </c>
      <c r="I553" s="2" t="e">
        <f>IF(#REF!&lt;17200,DISTÂNCIA3[[#This Row],[KM PARA PAGAMENTO DOS FRETES]]*4.74,((#REF!/17200)*4.74)*DISTÂNCIA3[[#This Row],[KM PARA PAGAMENTO DOS FRETES]])</f>
        <v>#REF!</v>
      </c>
      <c r="J553" s="4">
        <f>DISTÂNCIA3[[#This Row],[Valor CTE]]/DISTÂNCIA3[[#This Row],[KM PARA PAGAMENTO DOS FRETES]]</f>
        <v>5.4346524064171122</v>
      </c>
      <c r="K553" s="6">
        <f t="shared" si="20"/>
        <v>622.48</v>
      </c>
      <c r="L553" s="6">
        <f>0.92*DISTÂNCIA3[[#This Row],[KM distancia]]*4.578</f>
        <v>393.7995600000001</v>
      </c>
      <c r="M553" s="6">
        <f t="shared" si="21"/>
        <v>1016.28</v>
      </c>
    </row>
    <row r="554" spans="1:13" hidden="1" x14ac:dyDescent="0.35">
      <c r="A554">
        <f>'DASE DADOS - DISTANCIA'!A554</f>
        <v>6219993</v>
      </c>
      <c r="B554" t="str">
        <f>'DASE DADOS - DISTANCIA'!B554</f>
        <v>ROBERTO BICKEL</v>
      </c>
      <c r="C554" t="str">
        <f>'DASE DADOS - DISTANCIA'!C554</f>
        <v xml:space="preserve"> A2</v>
      </c>
      <c r="D554" t="str">
        <f>'DASE DADOS - DISTANCIA'!E554</f>
        <v>MARECHAL CANDIDO RONDON</v>
      </c>
      <c r="E554" t="str">
        <f>'DASE DADOS - DISTANCIA'!I554</f>
        <v>PLUMA</v>
      </c>
      <c r="F554" s="7">
        <v>93.5</v>
      </c>
      <c r="G554">
        <f>'DASE DADOS - DISTANCIA'!J554</f>
        <v>187</v>
      </c>
      <c r="H554" s="2">
        <v>420</v>
      </c>
      <c r="I554" s="2" t="e">
        <f>IF(#REF!&lt;17200,DISTÂNCIA3[[#This Row],[KM PARA PAGAMENTO DOS FRETES]]*4.74,((#REF!/17200)*4.74)*DISTÂNCIA3[[#This Row],[KM PARA PAGAMENTO DOS FRETES]])</f>
        <v>#REF!</v>
      </c>
      <c r="J554" s="4">
        <f>DISTÂNCIA3[[#This Row],[Valor CTE]]/DISTÂNCIA3[[#This Row],[KM PARA PAGAMENTO DOS FRETES]]</f>
        <v>5.4346524064171122</v>
      </c>
      <c r="K554" s="6">
        <f t="shared" si="20"/>
        <v>622.48</v>
      </c>
      <c r="L554" s="6">
        <f>0.92*DISTÂNCIA3[[#This Row],[KM distancia]]*4.578</f>
        <v>393.7995600000001</v>
      </c>
      <c r="M554" s="6">
        <f t="shared" si="21"/>
        <v>1016.28</v>
      </c>
    </row>
    <row r="555" spans="1:13" hidden="1" x14ac:dyDescent="0.35">
      <c r="A555">
        <f>'DASE DADOS - DISTANCIA'!A555</f>
        <v>6219993</v>
      </c>
      <c r="B555" t="str">
        <f>'DASE DADOS - DISTANCIA'!B555</f>
        <v>ROBERTO BICKEL</v>
      </c>
      <c r="C555" t="str">
        <f>'DASE DADOS - DISTANCIA'!C555</f>
        <v xml:space="preserve"> A4</v>
      </c>
      <c r="D555" t="str">
        <f>'DASE DADOS - DISTANCIA'!E555</f>
        <v>MARECHAL CANDIDO RONDON</v>
      </c>
      <c r="E555" t="str">
        <f>'DASE DADOS - DISTANCIA'!I555</f>
        <v>PLUMA</v>
      </c>
      <c r="F555" s="7">
        <v>93.5</v>
      </c>
      <c r="G555">
        <f>'DASE DADOS - DISTANCIA'!J555</f>
        <v>187</v>
      </c>
      <c r="H555" s="2">
        <v>420</v>
      </c>
      <c r="I555" s="2" t="e">
        <f>IF(#REF!&lt;17200,DISTÂNCIA3[[#This Row],[KM PARA PAGAMENTO DOS FRETES]]*4.74,((#REF!/17200)*4.74)*DISTÂNCIA3[[#This Row],[KM PARA PAGAMENTO DOS FRETES]])</f>
        <v>#REF!</v>
      </c>
      <c r="J555" s="4">
        <f>DISTÂNCIA3[[#This Row],[Valor CTE]]/DISTÂNCIA3[[#This Row],[KM PARA PAGAMENTO DOS FRETES]]</f>
        <v>5.4346524064171122</v>
      </c>
      <c r="K555" s="6">
        <f t="shared" si="20"/>
        <v>622.48</v>
      </c>
      <c r="L555" s="6">
        <f>0.92*DISTÂNCIA3[[#This Row],[KM distancia]]*4.578</f>
        <v>393.7995600000001</v>
      </c>
      <c r="M555" s="6">
        <f t="shared" si="21"/>
        <v>1016.28</v>
      </c>
    </row>
    <row r="556" spans="1:13" hidden="1" x14ac:dyDescent="0.35">
      <c r="A556">
        <f>'DASE DADOS - DISTANCIA'!A556</f>
        <v>6219993</v>
      </c>
      <c r="B556" t="str">
        <f>'DASE DADOS - DISTANCIA'!B556</f>
        <v>ROBERTO BICKEL</v>
      </c>
      <c r="C556" t="str">
        <f>'DASE DADOS - DISTANCIA'!C556</f>
        <v xml:space="preserve"> A1</v>
      </c>
      <c r="D556" t="str">
        <f>'DASE DADOS - DISTANCIA'!E556</f>
        <v>MARECHAL CANDIDO RONDON</v>
      </c>
      <c r="E556" t="str">
        <f>'DASE DADOS - DISTANCIA'!I556</f>
        <v>PLUMA</v>
      </c>
      <c r="F556" s="7">
        <v>93.5</v>
      </c>
      <c r="G556">
        <f>'DASE DADOS - DISTANCIA'!J556</f>
        <v>187</v>
      </c>
      <c r="H556" s="2">
        <v>420</v>
      </c>
      <c r="I556" s="2" t="e">
        <f>IF(#REF!&lt;17200,DISTÂNCIA3[[#This Row],[KM PARA PAGAMENTO DOS FRETES]]*4.74,((#REF!/17200)*4.74)*DISTÂNCIA3[[#This Row],[KM PARA PAGAMENTO DOS FRETES]])</f>
        <v>#REF!</v>
      </c>
      <c r="J556" s="4">
        <f>DISTÂNCIA3[[#This Row],[Valor CTE]]/DISTÂNCIA3[[#This Row],[KM PARA PAGAMENTO DOS FRETES]]</f>
        <v>5.4346524064171122</v>
      </c>
      <c r="K556" s="6">
        <f t="shared" si="20"/>
        <v>622.48</v>
      </c>
      <c r="L556" s="6">
        <f>0.92*DISTÂNCIA3[[#This Row],[KM distancia]]*4.578</f>
        <v>393.7995600000001</v>
      </c>
      <c r="M556" s="6">
        <f t="shared" si="21"/>
        <v>1016.28</v>
      </c>
    </row>
    <row r="557" spans="1:13" hidden="1" x14ac:dyDescent="0.35">
      <c r="A557">
        <f>'DASE DADOS - DISTANCIA'!A557</f>
        <v>4769007</v>
      </c>
      <c r="B557" t="str">
        <f>'DASE DADOS - DISTANCIA'!B557</f>
        <v>ROBERTO STOCKMANN</v>
      </c>
      <c r="C557" t="str">
        <f>'DASE DADOS - DISTANCIA'!C557</f>
        <v xml:space="preserve"> A5</v>
      </c>
      <c r="D557" t="str">
        <f>'DASE DADOS - DISTANCIA'!E557</f>
        <v>TOLEDO</v>
      </c>
      <c r="E557" t="str">
        <f>'DASE DADOS - DISTANCIA'!I557</f>
        <v>PLUMA</v>
      </c>
      <c r="F557" s="7">
        <v>72</v>
      </c>
      <c r="G557">
        <f>'DASE DADOS - DISTANCIA'!J557</f>
        <v>144</v>
      </c>
      <c r="H557" s="2">
        <v>420</v>
      </c>
      <c r="I557" s="2" t="e">
        <f>IF(#REF!&lt;17200,DISTÂNCIA3[[#This Row],[KM PARA PAGAMENTO DOS FRETES]]*4.74,((#REF!/17200)*4.74)*DISTÂNCIA3[[#This Row],[KM PARA PAGAMENTO DOS FRETES]])</f>
        <v>#REF!</v>
      </c>
      <c r="J557" s="4">
        <f>DISTÂNCIA3[[#This Row],[Valor CTE]]/DISTÂNCIA3[[#This Row],[KM PARA PAGAMENTO DOS FRETES]]</f>
        <v>5.7451388888888886</v>
      </c>
      <c r="K557" s="6">
        <f t="shared" si="20"/>
        <v>524.05999999999995</v>
      </c>
      <c r="L557" s="6">
        <f>0.92*DISTÂNCIA3[[#This Row],[KM distancia]]*4.578</f>
        <v>303.24672000000004</v>
      </c>
      <c r="M557" s="6">
        <f t="shared" si="21"/>
        <v>827.3</v>
      </c>
    </row>
    <row r="558" spans="1:13" hidden="1" x14ac:dyDescent="0.35">
      <c r="A558">
        <f>'DASE DADOS - DISTANCIA'!A558</f>
        <v>4769007</v>
      </c>
      <c r="B558" t="str">
        <f>'DASE DADOS - DISTANCIA'!B558</f>
        <v>ROBERTO STOCKMANN</v>
      </c>
      <c r="C558" t="str">
        <f>'DASE DADOS - DISTANCIA'!C558</f>
        <v xml:space="preserve"> A1</v>
      </c>
      <c r="D558" t="str">
        <f>'DASE DADOS - DISTANCIA'!E558</f>
        <v>TOLEDO</v>
      </c>
      <c r="E558" t="str">
        <f>'DASE DADOS - DISTANCIA'!I558</f>
        <v>PLUMA</v>
      </c>
      <c r="F558" s="7">
        <v>72</v>
      </c>
      <c r="G558">
        <f>'DASE DADOS - DISTANCIA'!J558</f>
        <v>144</v>
      </c>
      <c r="H558" s="2">
        <v>420</v>
      </c>
      <c r="I558" s="2" t="e">
        <f>IF(#REF!&lt;17200,DISTÂNCIA3[[#This Row],[KM PARA PAGAMENTO DOS FRETES]]*4.74,((#REF!/17200)*4.74)*DISTÂNCIA3[[#This Row],[KM PARA PAGAMENTO DOS FRETES]])</f>
        <v>#REF!</v>
      </c>
      <c r="J558" s="4">
        <f>DISTÂNCIA3[[#This Row],[Valor CTE]]/DISTÂNCIA3[[#This Row],[KM PARA PAGAMENTO DOS FRETES]]</f>
        <v>5.7451388888888886</v>
      </c>
      <c r="K558" s="6">
        <f t="shared" si="20"/>
        <v>524.05999999999995</v>
      </c>
      <c r="L558" s="6">
        <f>0.92*DISTÂNCIA3[[#This Row],[KM distancia]]*4.578</f>
        <v>303.24672000000004</v>
      </c>
      <c r="M558" s="6">
        <f t="shared" si="21"/>
        <v>827.3</v>
      </c>
    </row>
    <row r="559" spans="1:13" hidden="1" x14ac:dyDescent="0.35">
      <c r="A559">
        <f>'DASE DADOS - DISTANCIA'!A559</f>
        <v>4769007</v>
      </c>
      <c r="B559" t="str">
        <f>'DASE DADOS - DISTANCIA'!B559</f>
        <v>ROBERTO STOCKMANN</v>
      </c>
      <c r="C559" t="str">
        <f>'DASE DADOS - DISTANCIA'!C559</f>
        <v xml:space="preserve"> A2</v>
      </c>
      <c r="D559" t="str">
        <f>'DASE DADOS - DISTANCIA'!E559</f>
        <v>TOLEDO</v>
      </c>
      <c r="E559" t="str">
        <f>'DASE DADOS - DISTANCIA'!I559</f>
        <v>PLUMA</v>
      </c>
      <c r="F559" s="7">
        <v>72</v>
      </c>
      <c r="G559">
        <f>'DASE DADOS - DISTANCIA'!J559</f>
        <v>144</v>
      </c>
      <c r="H559" s="2">
        <v>420</v>
      </c>
      <c r="I559" s="2" t="e">
        <f>IF(#REF!&lt;17200,DISTÂNCIA3[[#This Row],[KM PARA PAGAMENTO DOS FRETES]]*4.74,((#REF!/17200)*4.74)*DISTÂNCIA3[[#This Row],[KM PARA PAGAMENTO DOS FRETES]])</f>
        <v>#REF!</v>
      </c>
      <c r="J559" s="4">
        <f>DISTÂNCIA3[[#This Row],[Valor CTE]]/DISTÂNCIA3[[#This Row],[KM PARA PAGAMENTO DOS FRETES]]</f>
        <v>5.7451388888888886</v>
      </c>
      <c r="K559" s="6">
        <f t="shared" si="20"/>
        <v>524.05999999999995</v>
      </c>
      <c r="L559" s="6">
        <f>0.92*DISTÂNCIA3[[#This Row],[KM distancia]]*4.578</f>
        <v>303.24672000000004</v>
      </c>
      <c r="M559" s="6">
        <f t="shared" si="21"/>
        <v>827.3</v>
      </c>
    </row>
    <row r="560" spans="1:13" hidden="1" x14ac:dyDescent="0.35">
      <c r="A560">
        <f>'DASE DADOS - DISTANCIA'!A560</f>
        <v>4769007</v>
      </c>
      <c r="B560" t="str">
        <f>'DASE DADOS - DISTANCIA'!B560</f>
        <v>ROBERTO STOCKMANN</v>
      </c>
      <c r="C560" t="str">
        <f>'DASE DADOS - DISTANCIA'!C560</f>
        <v xml:space="preserve"> A8</v>
      </c>
      <c r="D560" t="str">
        <f>'DASE DADOS - DISTANCIA'!E560</f>
        <v>TOLEDO</v>
      </c>
      <c r="E560" t="str">
        <f>'DASE DADOS - DISTANCIA'!I560</f>
        <v>PLUMA</v>
      </c>
      <c r="F560" s="7">
        <v>72</v>
      </c>
      <c r="G560">
        <f>'DASE DADOS - DISTANCIA'!J560</f>
        <v>144</v>
      </c>
      <c r="H560" s="2">
        <v>420</v>
      </c>
      <c r="I560" s="2" t="e">
        <f>IF(#REF!&lt;17200,DISTÂNCIA3[[#This Row],[KM PARA PAGAMENTO DOS FRETES]]*4.74,((#REF!/17200)*4.74)*DISTÂNCIA3[[#This Row],[KM PARA PAGAMENTO DOS FRETES]])</f>
        <v>#REF!</v>
      </c>
      <c r="J560" s="4">
        <f>DISTÂNCIA3[[#This Row],[Valor CTE]]/DISTÂNCIA3[[#This Row],[KM PARA PAGAMENTO DOS FRETES]]</f>
        <v>5.7451388888888886</v>
      </c>
      <c r="K560" s="6">
        <f t="shared" si="20"/>
        <v>524.05999999999995</v>
      </c>
      <c r="L560" s="6">
        <f>0.92*DISTÂNCIA3[[#This Row],[KM distancia]]*4.578</f>
        <v>303.24672000000004</v>
      </c>
      <c r="M560" s="6">
        <f t="shared" si="21"/>
        <v>827.3</v>
      </c>
    </row>
    <row r="561" spans="1:13" hidden="1" x14ac:dyDescent="0.35">
      <c r="A561">
        <f>'DASE DADOS - DISTANCIA'!A561</f>
        <v>4769007</v>
      </c>
      <c r="B561" t="str">
        <f>'DASE DADOS - DISTANCIA'!B561</f>
        <v>ROBERTO STOCKMANN</v>
      </c>
      <c r="C561" t="str">
        <f>'DASE DADOS - DISTANCIA'!C561</f>
        <v xml:space="preserve"> A4</v>
      </c>
      <c r="D561" t="str">
        <f>'DASE DADOS - DISTANCIA'!E561</f>
        <v>TOLEDO</v>
      </c>
      <c r="E561" t="str">
        <f>'DASE DADOS - DISTANCIA'!I561</f>
        <v>PLUMA</v>
      </c>
      <c r="F561" s="7">
        <v>72</v>
      </c>
      <c r="G561">
        <f>'DASE DADOS - DISTANCIA'!J561</f>
        <v>144</v>
      </c>
      <c r="H561" s="2">
        <v>420</v>
      </c>
      <c r="I561" s="2" t="e">
        <f>IF(#REF!&lt;17200,DISTÂNCIA3[[#This Row],[KM PARA PAGAMENTO DOS FRETES]]*4.74,((#REF!/17200)*4.74)*DISTÂNCIA3[[#This Row],[KM PARA PAGAMENTO DOS FRETES]])</f>
        <v>#REF!</v>
      </c>
      <c r="J561" s="4">
        <f>DISTÂNCIA3[[#This Row],[Valor CTE]]/DISTÂNCIA3[[#This Row],[KM PARA PAGAMENTO DOS FRETES]]</f>
        <v>5.7451388888888886</v>
      </c>
      <c r="K561" s="6">
        <f t="shared" si="20"/>
        <v>524.05999999999995</v>
      </c>
      <c r="L561" s="6">
        <f>0.92*DISTÂNCIA3[[#This Row],[KM distancia]]*4.578</f>
        <v>303.24672000000004</v>
      </c>
      <c r="M561" s="6">
        <f t="shared" si="21"/>
        <v>827.3</v>
      </c>
    </row>
    <row r="562" spans="1:13" hidden="1" x14ac:dyDescent="0.35">
      <c r="A562">
        <f>'DASE DADOS - DISTANCIA'!A562</f>
        <v>4769007</v>
      </c>
      <c r="B562" t="str">
        <f>'DASE DADOS - DISTANCIA'!B562</f>
        <v>ROBERTO STOCKMANN</v>
      </c>
      <c r="C562" t="str">
        <f>'DASE DADOS - DISTANCIA'!C562</f>
        <v xml:space="preserve"> A3</v>
      </c>
      <c r="D562" t="str">
        <f>'DASE DADOS - DISTANCIA'!E562</f>
        <v>TOLEDO</v>
      </c>
      <c r="E562" t="str">
        <f>'DASE DADOS - DISTANCIA'!I562</f>
        <v>PLUMA</v>
      </c>
      <c r="F562" s="7">
        <v>72</v>
      </c>
      <c r="G562">
        <f>'DASE DADOS - DISTANCIA'!J562</f>
        <v>144</v>
      </c>
      <c r="H562" s="2">
        <v>420</v>
      </c>
      <c r="I562" s="2" t="e">
        <f>IF(#REF!&lt;17200,DISTÂNCIA3[[#This Row],[KM PARA PAGAMENTO DOS FRETES]]*4.74,((#REF!/17200)*4.74)*DISTÂNCIA3[[#This Row],[KM PARA PAGAMENTO DOS FRETES]])</f>
        <v>#REF!</v>
      </c>
      <c r="J562" s="4">
        <f>DISTÂNCIA3[[#This Row],[Valor CTE]]/DISTÂNCIA3[[#This Row],[KM PARA PAGAMENTO DOS FRETES]]</f>
        <v>5.7451388888888886</v>
      </c>
      <c r="K562" s="6">
        <f t="shared" si="20"/>
        <v>524.05999999999995</v>
      </c>
      <c r="L562" s="6">
        <f>0.92*DISTÂNCIA3[[#This Row],[KM distancia]]*4.578</f>
        <v>303.24672000000004</v>
      </c>
      <c r="M562" s="6">
        <f t="shared" si="21"/>
        <v>827.3</v>
      </c>
    </row>
    <row r="563" spans="1:13" hidden="1" x14ac:dyDescent="0.35">
      <c r="A563">
        <f>'DASE DADOS - DISTANCIA'!A563</f>
        <v>0</v>
      </c>
      <c r="B563" t="str">
        <f>'DASE DADOS - DISTANCIA'!B563</f>
        <v>NOELIR DE FATIMA MACHADO KOLLING</v>
      </c>
      <c r="C563" t="str">
        <f>'DASE DADOS - DISTANCIA'!C563</f>
        <v xml:space="preserve"> A1</v>
      </c>
      <c r="D563" t="str">
        <f>'DASE DADOS - DISTANCIA'!E563</f>
        <v>TOLEDO</v>
      </c>
      <c r="E563" t="str">
        <f>'DASE DADOS - DISTANCIA'!I563</f>
        <v>PLUMA</v>
      </c>
      <c r="F563" s="7">
        <v>64.5</v>
      </c>
      <c r="G563">
        <f>'DASE DADOS - DISTANCIA'!J563</f>
        <v>129</v>
      </c>
      <c r="H563" s="2">
        <v>420</v>
      </c>
      <c r="I563" s="2" t="e">
        <f>IF(#REF!&lt;17200,DISTÂNCIA3[[#This Row],[KM PARA PAGAMENTO DOS FRETES]]*4.74,((#REF!/17200)*4.74)*DISTÂNCIA3[[#This Row],[KM PARA PAGAMENTO DOS FRETES]])</f>
        <v>#REF!</v>
      </c>
      <c r="J563" s="4">
        <f>DISTÂNCIA3[[#This Row],[Valor CTE]]/DISTÂNCIA3[[#This Row],[KM PARA PAGAMENTO DOS FRETES]]</f>
        <v>5.902170542635659</v>
      </c>
      <c r="K563" s="6">
        <f t="shared" si="20"/>
        <v>489.72</v>
      </c>
      <c r="L563" s="6">
        <f>0.92*DISTÂNCIA3[[#This Row],[KM distancia]]*4.578</f>
        <v>271.65852000000001</v>
      </c>
      <c r="M563" s="6">
        <f t="shared" si="21"/>
        <v>761.38</v>
      </c>
    </row>
    <row r="564" spans="1:13" hidden="1" x14ac:dyDescent="0.35">
      <c r="A564">
        <f>'DASE DADOS - DISTANCIA'!A564</f>
        <v>4769007</v>
      </c>
      <c r="B564" t="str">
        <f>'DASE DADOS - DISTANCIA'!B564</f>
        <v>ROBERTO STOCKMANN</v>
      </c>
      <c r="C564" t="str">
        <f>'DASE DADOS - DISTANCIA'!C564</f>
        <v xml:space="preserve"> A7</v>
      </c>
      <c r="D564" t="str">
        <f>'DASE DADOS - DISTANCIA'!E564</f>
        <v>TOLEDO</v>
      </c>
      <c r="E564" t="str">
        <f>'DASE DADOS - DISTANCIA'!I564</f>
        <v>PLUMA</v>
      </c>
      <c r="F564" s="7">
        <v>72</v>
      </c>
      <c r="G564">
        <f>'DASE DADOS - DISTANCIA'!J564</f>
        <v>144</v>
      </c>
      <c r="H564" s="2">
        <v>420</v>
      </c>
      <c r="I564" s="2" t="e">
        <f>IF(#REF!&lt;17200,DISTÂNCIA3[[#This Row],[KM PARA PAGAMENTO DOS FRETES]]*4.74,((#REF!/17200)*4.74)*DISTÂNCIA3[[#This Row],[KM PARA PAGAMENTO DOS FRETES]])</f>
        <v>#REF!</v>
      </c>
      <c r="J564" s="4">
        <f>DISTÂNCIA3[[#This Row],[Valor CTE]]/DISTÂNCIA3[[#This Row],[KM PARA PAGAMENTO DOS FRETES]]</f>
        <v>5.7451388888888886</v>
      </c>
      <c r="K564" s="6">
        <f t="shared" si="20"/>
        <v>524.05999999999995</v>
      </c>
      <c r="L564" s="6">
        <f>0.92*DISTÂNCIA3[[#This Row],[KM distancia]]*4.578</f>
        <v>303.24672000000004</v>
      </c>
      <c r="M564" s="6">
        <f t="shared" si="21"/>
        <v>827.3</v>
      </c>
    </row>
    <row r="565" spans="1:13" hidden="1" x14ac:dyDescent="0.35">
      <c r="A565">
        <f>'DASE DADOS - DISTANCIA'!A565</f>
        <v>0</v>
      </c>
      <c r="B565" t="str">
        <f>'DASE DADOS - DISTANCIA'!B565</f>
        <v>NOELIR DE FATIMA MACHADO KOLLING</v>
      </c>
      <c r="C565" t="str">
        <f>'DASE DADOS - DISTANCIA'!C565</f>
        <v xml:space="preserve"> A2</v>
      </c>
      <c r="D565" t="str">
        <f>'DASE DADOS - DISTANCIA'!E565</f>
        <v>TOLEDO</v>
      </c>
      <c r="E565" t="str">
        <f>'DASE DADOS - DISTANCIA'!I565</f>
        <v>PLUMA</v>
      </c>
      <c r="F565" s="7">
        <v>64.5</v>
      </c>
      <c r="G565">
        <f>'DASE DADOS - DISTANCIA'!J565</f>
        <v>129</v>
      </c>
      <c r="H565" s="2">
        <v>420</v>
      </c>
      <c r="I565" s="2" t="e">
        <f>IF(#REF!&lt;17200,DISTÂNCIA3[[#This Row],[KM PARA PAGAMENTO DOS FRETES]]*4.74,((#REF!/17200)*4.74)*DISTÂNCIA3[[#This Row],[KM PARA PAGAMENTO DOS FRETES]])</f>
        <v>#REF!</v>
      </c>
      <c r="J565" s="4">
        <f>DISTÂNCIA3[[#This Row],[Valor CTE]]/DISTÂNCIA3[[#This Row],[KM PARA PAGAMENTO DOS FRETES]]</f>
        <v>5.902170542635659</v>
      </c>
      <c r="K565" s="6">
        <f t="shared" si="20"/>
        <v>489.72</v>
      </c>
      <c r="L565" s="6">
        <f>0.92*DISTÂNCIA3[[#This Row],[KM distancia]]*4.578</f>
        <v>271.65852000000001</v>
      </c>
      <c r="M565" s="6">
        <f t="shared" si="21"/>
        <v>761.38</v>
      </c>
    </row>
    <row r="566" spans="1:13" hidden="1" x14ac:dyDescent="0.35">
      <c r="A566">
        <f>'DASE DADOS - DISTANCIA'!A566</f>
        <v>4769007</v>
      </c>
      <c r="B566" t="str">
        <f>'DASE DADOS - DISTANCIA'!B566</f>
        <v>ROBERTO STOCKMANN</v>
      </c>
      <c r="C566" t="str">
        <f>'DASE DADOS - DISTANCIA'!C566</f>
        <v xml:space="preserve"> A6</v>
      </c>
      <c r="D566" t="str">
        <f>'DASE DADOS - DISTANCIA'!E566</f>
        <v>TOLEDO</v>
      </c>
      <c r="E566" t="str">
        <f>'DASE DADOS - DISTANCIA'!I566</f>
        <v>PLUMA</v>
      </c>
      <c r="F566" s="7">
        <v>72</v>
      </c>
      <c r="G566">
        <f>'DASE DADOS - DISTANCIA'!J566</f>
        <v>144</v>
      </c>
      <c r="H566" s="2">
        <v>420</v>
      </c>
      <c r="I566" s="2" t="e">
        <f>IF(#REF!&lt;17200,DISTÂNCIA3[[#This Row],[KM PARA PAGAMENTO DOS FRETES]]*4.74,((#REF!/17200)*4.74)*DISTÂNCIA3[[#This Row],[KM PARA PAGAMENTO DOS FRETES]])</f>
        <v>#REF!</v>
      </c>
      <c r="J566" s="4">
        <f>DISTÂNCIA3[[#This Row],[Valor CTE]]/DISTÂNCIA3[[#This Row],[KM PARA PAGAMENTO DOS FRETES]]</f>
        <v>5.7451388888888886</v>
      </c>
      <c r="K566" s="6">
        <f t="shared" si="20"/>
        <v>524.05999999999995</v>
      </c>
      <c r="L566" s="6">
        <f>0.92*DISTÂNCIA3[[#This Row],[KM distancia]]*4.578</f>
        <v>303.24672000000004</v>
      </c>
      <c r="M566" s="6">
        <f t="shared" si="21"/>
        <v>827.3</v>
      </c>
    </row>
    <row r="567" spans="1:13" hidden="1" x14ac:dyDescent="0.35">
      <c r="A567">
        <f>'DASE DADOS - DISTANCIA'!A567</f>
        <v>0</v>
      </c>
      <c r="B567" t="str">
        <f>'DASE DADOS - DISTANCIA'!B567</f>
        <v>NOROLINDO NUNES DA SILVA</v>
      </c>
      <c r="C567" t="str">
        <f>'DASE DADOS - DISTANCIA'!C567</f>
        <v xml:space="preserve"> A1</v>
      </c>
      <c r="D567" t="str">
        <f>'DASE DADOS - DISTANCIA'!E567</f>
        <v>TUPASSI</v>
      </c>
      <c r="E567" t="str">
        <f>'DASE DADOS - DISTANCIA'!I567</f>
        <v>PLUMA</v>
      </c>
      <c r="F567" s="7">
        <v>56</v>
      </c>
      <c r="G567">
        <f>'DASE DADOS - DISTANCIA'!J567</f>
        <v>112</v>
      </c>
      <c r="H567" s="2">
        <v>420</v>
      </c>
      <c r="I567" s="2" t="e">
        <f>IF(#REF!&lt;17200,DISTÂNCIA3[[#This Row],[KM PARA PAGAMENTO DOS FRETES]]*4.74,((#REF!/17200)*4.74)*DISTÂNCIA3[[#This Row],[KM PARA PAGAMENTO DOS FRETES]])</f>
        <v>#REF!</v>
      </c>
      <c r="J567" s="4">
        <f>DISTÂNCIA3[[#This Row],[Valor CTE]]/DISTÂNCIA3[[#This Row],[KM PARA PAGAMENTO DOS FRETES]]</f>
        <v>6.1309821428571425</v>
      </c>
      <c r="K567" s="6">
        <f t="shared" si="20"/>
        <v>450.81</v>
      </c>
      <c r="L567" s="6">
        <f>0.92*DISTÂNCIA3[[#This Row],[KM distancia]]*4.578</f>
        <v>235.85856000000004</v>
      </c>
      <c r="M567" s="6">
        <f t="shared" si="21"/>
        <v>686.67</v>
      </c>
    </row>
    <row r="568" spans="1:13" hidden="1" x14ac:dyDescent="0.35">
      <c r="A568">
        <f>'DASE DADOS - DISTANCIA'!A568</f>
        <v>0</v>
      </c>
      <c r="B568" t="str">
        <f>'DASE DADOS - DISTANCIA'!B568</f>
        <v>NOROLINDO NUNES DA SILVA</v>
      </c>
      <c r="C568" t="str">
        <f>'DASE DADOS - DISTANCIA'!C568</f>
        <v xml:space="preserve"> A2</v>
      </c>
      <c r="D568" t="str">
        <f>'DASE DADOS - DISTANCIA'!E568</f>
        <v>TUPASSI</v>
      </c>
      <c r="E568" t="str">
        <f>'DASE DADOS - DISTANCIA'!I568</f>
        <v>PLUMA</v>
      </c>
      <c r="F568" s="7">
        <v>56</v>
      </c>
      <c r="G568">
        <f>'DASE DADOS - DISTANCIA'!J568</f>
        <v>112</v>
      </c>
      <c r="H568" s="2">
        <v>420</v>
      </c>
      <c r="I568" s="2" t="e">
        <f>IF(#REF!&lt;17200,DISTÂNCIA3[[#This Row],[KM PARA PAGAMENTO DOS FRETES]]*4.74,((#REF!/17200)*4.74)*DISTÂNCIA3[[#This Row],[KM PARA PAGAMENTO DOS FRETES]])</f>
        <v>#REF!</v>
      </c>
      <c r="J568" s="4">
        <f>DISTÂNCIA3[[#This Row],[Valor CTE]]/DISTÂNCIA3[[#This Row],[KM PARA PAGAMENTO DOS FRETES]]</f>
        <v>6.1309821428571425</v>
      </c>
      <c r="K568" s="6">
        <f t="shared" si="20"/>
        <v>450.81</v>
      </c>
      <c r="L568" s="6">
        <f>0.92*DISTÂNCIA3[[#This Row],[KM distancia]]*4.578</f>
        <v>235.85856000000004</v>
      </c>
      <c r="M568" s="6">
        <f t="shared" si="21"/>
        <v>686.67</v>
      </c>
    </row>
    <row r="569" spans="1:13" hidden="1" x14ac:dyDescent="0.35">
      <c r="A569">
        <f>'DASE DADOS - DISTANCIA'!A569</f>
        <v>0</v>
      </c>
      <c r="B569" t="str">
        <f>'DASE DADOS - DISTANCIA'!B569</f>
        <v>NOROLINDO NUNES DA SILVA</v>
      </c>
      <c r="C569" t="str">
        <f>'DASE DADOS - DISTANCIA'!C569</f>
        <v xml:space="preserve"> A3</v>
      </c>
      <c r="D569" t="str">
        <f>'DASE DADOS - DISTANCIA'!E569</f>
        <v>TUPASSI</v>
      </c>
      <c r="E569" t="str">
        <f>'DASE DADOS - DISTANCIA'!I569</f>
        <v>PLUMA</v>
      </c>
      <c r="F569" s="7">
        <v>56</v>
      </c>
      <c r="G569">
        <f>'DASE DADOS - DISTANCIA'!J569</f>
        <v>112</v>
      </c>
      <c r="H569" s="2">
        <v>420</v>
      </c>
      <c r="I569" s="2" t="e">
        <f>IF(#REF!&lt;17200,DISTÂNCIA3[[#This Row],[KM PARA PAGAMENTO DOS FRETES]]*4.74,((#REF!/17200)*4.74)*DISTÂNCIA3[[#This Row],[KM PARA PAGAMENTO DOS FRETES]])</f>
        <v>#REF!</v>
      </c>
      <c r="J569" s="4">
        <f>DISTÂNCIA3[[#This Row],[Valor CTE]]/DISTÂNCIA3[[#This Row],[KM PARA PAGAMENTO DOS FRETES]]</f>
        <v>6.1309821428571425</v>
      </c>
      <c r="K569" s="6">
        <f t="shared" si="20"/>
        <v>450.81</v>
      </c>
      <c r="L569" s="6">
        <f>0.92*DISTÂNCIA3[[#This Row],[KM distancia]]*4.578</f>
        <v>235.85856000000004</v>
      </c>
      <c r="M569" s="6">
        <f t="shared" si="21"/>
        <v>686.67</v>
      </c>
    </row>
    <row r="570" spans="1:13" hidden="1" x14ac:dyDescent="0.35">
      <c r="A570">
        <f>'DASE DADOS - DISTANCIA'!A570</f>
        <v>6405541</v>
      </c>
      <c r="B570" t="str">
        <f>'DASE DADOS - DISTANCIA'!B570</f>
        <v>ROBSON HAHN</v>
      </c>
      <c r="C570" t="str">
        <f>'DASE DADOS - DISTANCIA'!C570</f>
        <v xml:space="preserve"> A4</v>
      </c>
      <c r="D570" t="str">
        <f>'DASE DADOS - DISTANCIA'!E570</f>
        <v>SANTA HELENA</v>
      </c>
      <c r="E570" t="str">
        <f>'DASE DADOS - DISTANCIA'!I570</f>
        <v>PLUMA</v>
      </c>
      <c r="F570" s="7">
        <v>115</v>
      </c>
      <c r="G570">
        <f>'DASE DADOS - DISTANCIA'!J570</f>
        <v>230</v>
      </c>
      <c r="H570" s="2">
        <v>420</v>
      </c>
      <c r="I570" s="2" t="e">
        <f>IF(#REF!&lt;17200,DISTÂNCIA3[[#This Row],[KM PARA PAGAMENTO DOS FRETES]]*4.74,((#REF!/17200)*4.74)*DISTÂNCIA3[[#This Row],[KM PARA PAGAMENTO DOS FRETES]])</f>
        <v>#REF!</v>
      </c>
      <c r="J570" s="4">
        <f>DISTÂNCIA3[[#This Row],[Valor CTE]]/DISTÂNCIA3[[#This Row],[KM PARA PAGAMENTO DOS FRETES]]</f>
        <v>5.2402608695652173</v>
      </c>
      <c r="K570" s="6">
        <f t="shared" si="20"/>
        <v>720.91</v>
      </c>
      <c r="L570" s="6">
        <f>0.92*DISTÂNCIA3[[#This Row],[KM distancia]]*4.578</f>
        <v>484.3524000000001</v>
      </c>
      <c r="M570" s="6">
        <f t="shared" si="21"/>
        <v>1205.26</v>
      </c>
    </row>
    <row r="571" spans="1:13" hidden="1" x14ac:dyDescent="0.35">
      <c r="A571">
        <f>'DASE DADOS - DISTANCIA'!A571</f>
        <v>0</v>
      </c>
      <c r="B571" t="str">
        <f>'DASE DADOS - DISTANCIA'!B571</f>
        <v>ODILA BARBARA DAL MORO</v>
      </c>
      <c r="C571" t="str">
        <f>'DASE DADOS - DISTANCIA'!C571</f>
        <v xml:space="preserve"> A1</v>
      </c>
      <c r="D571" t="str">
        <f>'DASE DADOS - DISTANCIA'!E571</f>
        <v>CASCAVEL</v>
      </c>
      <c r="E571" t="str">
        <f>'DASE DADOS - DISTANCIA'!I571</f>
        <v>PLUMA</v>
      </c>
      <c r="F571" s="7">
        <v>26</v>
      </c>
      <c r="G571">
        <f>'DASE DADOS - DISTANCIA'!J571</f>
        <v>52</v>
      </c>
      <c r="H571" s="2">
        <v>420</v>
      </c>
      <c r="I571" s="2" t="e">
        <f>IF(#REF!&lt;17200,DISTÂNCIA3[[#This Row],[KM PARA PAGAMENTO DOS FRETES]]*4.74,((#REF!/17200)*4.74)*DISTÂNCIA3[[#This Row],[KM PARA PAGAMENTO DOS FRETES]])</f>
        <v>#REF!</v>
      </c>
      <c r="J571" s="4">
        <f>DISTÂNCIA3[[#This Row],[Valor CTE]]/DISTÂNCIA3[[#This Row],[KM PARA PAGAMENTO DOS FRETES]]</f>
        <v>8.1340384615384629</v>
      </c>
      <c r="K571" s="6">
        <f t="shared" si="20"/>
        <v>313.47000000000003</v>
      </c>
      <c r="L571" s="6">
        <f>0.92*DISTÂNCIA3[[#This Row],[KM distancia]]*4.578</f>
        <v>109.50576000000001</v>
      </c>
      <c r="M571" s="6">
        <f t="shared" si="21"/>
        <v>422.97</v>
      </c>
    </row>
    <row r="572" spans="1:13" hidden="1" x14ac:dyDescent="0.35">
      <c r="A572">
        <f>'DASE DADOS - DISTANCIA'!A572</f>
        <v>6405541</v>
      </c>
      <c r="B572" t="str">
        <f>'DASE DADOS - DISTANCIA'!B572</f>
        <v>ROBSON HAHN</v>
      </c>
      <c r="C572" t="str">
        <f>'DASE DADOS - DISTANCIA'!C572</f>
        <v xml:space="preserve"> A3</v>
      </c>
      <c r="D572" t="str">
        <f>'DASE DADOS - DISTANCIA'!E572</f>
        <v>SANTA HELENA</v>
      </c>
      <c r="E572" t="str">
        <f>'DASE DADOS - DISTANCIA'!I572</f>
        <v>PLUMA</v>
      </c>
      <c r="F572" s="7">
        <v>115</v>
      </c>
      <c r="G572">
        <f>'DASE DADOS - DISTANCIA'!J572</f>
        <v>230</v>
      </c>
      <c r="H572" s="2">
        <v>420</v>
      </c>
      <c r="I572" s="2" t="e">
        <f>IF(#REF!&lt;17200,DISTÂNCIA3[[#This Row],[KM PARA PAGAMENTO DOS FRETES]]*4.74,((#REF!/17200)*4.74)*DISTÂNCIA3[[#This Row],[KM PARA PAGAMENTO DOS FRETES]])</f>
        <v>#REF!</v>
      </c>
      <c r="J572" s="4">
        <f>DISTÂNCIA3[[#This Row],[Valor CTE]]/DISTÂNCIA3[[#This Row],[KM PARA PAGAMENTO DOS FRETES]]</f>
        <v>5.2402608695652173</v>
      </c>
      <c r="K572" s="6">
        <f t="shared" si="20"/>
        <v>720.91</v>
      </c>
      <c r="L572" s="6">
        <f>0.92*DISTÂNCIA3[[#This Row],[KM distancia]]*4.578</f>
        <v>484.3524000000001</v>
      </c>
      <c r="M572" s="6">
        <f t="shared" si="21"/>
        <v>1205.26</v>
      </c>
    </row>
    <row r="573" spans="1:13" hidden="1" x14ac:dyDescent="0.35">
      <c r="A573">
        <f>'DASE DADOS - DISTANCIA'!A573</f>
        <v>6405541</v>
      </c>
      <c r="B573" t="str">
        <f>'DASE DADOS - DISTANCIA'!B573</f>
        <v>ROBSON HAHN</v>
      </c>
      <c r="C573" t="str">
        <f>'DASE DADOS - DISTANCIA'!C573</f>
        <v xml:space="preserve"> A2</v>
      </c>
      <c r="D573" t="str">
        <f>'DASE DADOS - DISTANCIA'!E573</f>
        <v>SANTA HELENA</v>
      </c>
      <c r="E573" t="str">
        <f>'DASE DADOS - DISTANCIA'!I573</f>
        <v>PLUMA</v>
      </c>
      <c r="F573" s="7">
        <v>115</v>
      </c>
      <c r="G573">
        <f>'DASE DADOS - DISTANCIA'!J573</f>
        <v>230</v>
      </c>
      <c r="H573" s="2">
        <v>420</v>
      </c>
      <c r="I573" s="2" t="e">
        <f>IF(#REF!&lt;17200,DISTÂNCIA3[[#This Row],[KM PARA PAGAMENTO DOS FRETES]]*4.74,((#REF!/17200)*4.74)*DISTÂNCIA3[[#This Row],[KM PARA PAGAMENTO DOS FRETES]])</f>
        <v>#REF!</v>
      </c>
      <c r="J573" s="4">
        <f>DISTÂNCIA3[[#This Row],[Valor CTE]]/DISTÂNCIA3[[#This Row],[KM PARA PAGAMENTO DOS FRETES]]</f>
        <v>5.2402608695652173</v>
      </c>
      <c r="K573" s="6">
        <f t="shared" si="20"/>
        <v>720.91</v>
      </c>
      <c r="L573" s="6">
        <f>0.92*DISTÂNCIA3[[#This Row],[KM distancia]]*4.578</f>
        <v>484.3524000000001</v>
      </c>
      <c r="M573" s="6">
        <f t="shared" si="21"/>
        <v>1205.26</v>
      </c>
    </row>
    <row r="574" spans="1:13" hidden="1" x14ac:dyDescent="0.35">
      <c r="A574">
        <f>'DASE DADOS - DISTANCIA'!A574</f>
        <v>6405541</v>
      </c>
      <c r="B574" t="str">
        <f>'DASE DADOS - DISTANCIA'!B574</f>
        <v>ROBSON HAHN</v>
      </c>
      <c r="C574" t="str">
        <f>'DASE DADOS - DISTANCIA'!C574</f>
        <v xml:space="preserve"> A1</v>
      </c>
      <c r="D574" t="str">
        <f>'DASE DADOS - DISTANCIA'!E574</f>
        <v>SANTA HELENA</v>
      </c>
      <c r="E574" t="str">
        <f>'DASE DADOS - DISTANCIA'!I574</f>
        <v>PLUMA</v>
      </c>
      <c r="F574" s="7">
        <v>115</v>
      </c>
      <c r="G574">
        <f>'DASE DADOS - DISTANCIA'!J574</f>
        <v>230</v>
      </c>
      <c r="H574" s="2">
        <v>420</v>
      </c>
      <c r="I574" s="2" t="e">
        <f>IF(#REF!&lt;17200,DISTÂNCIA3[[#This Row],[KM PARA PAGAMENTO DOS FRETES]]*4.74,((#REF!/17200)*4.74)*DISTÂNCIA3[[#This Row],[KM PARA PAGAMENTO DOS FRETES]])</f>
        <v>#REF!</v>
      </c>
      <c r="J574" s="4">
        <f>DISTÂNCIA3[[#This Row],[Valor CTE]]/DISTÂNCIA3[[#This Row],[KM PARA PAGAMENTO DOS FRETES]]</f>
        <v>5.2402608695652173</v>
      </c>
      <c r="K574" s="6">
        <f t="shared" si="20"/>
        <v>720.91</v>
      </c>
      <c r="L574" s="6">
        <f>0.92*DISTÂNCIA3[[#This Row],[KM distancia]]*4.578</f>
        <v>484.3524000000001</v>
      </c>
      <c r="M574" s="6">
        <f t="shared" si="21"/>
        <v>1205.26</v>
      </c>
    </row>
    <row r="575" spans="1:13" hidden="1" x14ac:dyDescent="0.35">
      <c r="A575">
        <f>'DASE DADOS - DISTANCIA'!A575</f>
        <v>29904</v>
      </c>
      <c r="B575" t="str">
        <f>'DASE DADOS - DISTANCIA'!B575</f>
        <v>RODRIGO FERNANDO SALVALAGGIO</v>
      </c>
      <c r="C575" t="str">
        <f>'DASE DADOS - DISTANCIA'!C575</f>
        <v xml:space="preserve"> A1</v>
      </c>
      <c r="D575" t="str">
        <f>'DASE DADOS - DISTANCIA'!E575</f>
        <v>CAPANEMA</v>
      </c>
      <c r="E575" t="str">
        <f>'DASE DADOS - DISTANCIA'!I575</f>
        <v>PLUSVAL</v>
      </c>
      <c r="F575" s="7">
        <v>122</v>
      </c>
      <c r="G575">
        <f>'DASE DADOS - DISTANCIA'!J575</f>
        <v>244</v>
      </c>
      <c r="H575" s="2">
        <v>420</v>
      </c>
      <c r="I575" s="2" t="e">
        <f>IF(#REF!&lt;17200,DISTÂNCIA3[[#This Row],[KM PARA PAGAMENTO DOS FRETES]]*4.74,((#REF!/17200)*4.74)*DISTÂNCIA3[[#This Row],[KM PARA PAGAMENTO DOS FRETES]])</f>
        <v>#REF!</v>
      </c>
      <c r="J575" s="4">
        <f>DISTÂNCIA3[[#This Row],[Valor CTE]]/DISTÂNCIA3[[#This Row],[KM PARA PAGAMENTO DOS FRETES]]</f>
        <v>5.1917622950819666</v>
      </c>
      <c r="K575" s="6">
        <f t="shared" si="20"/>
        <v>752.96</v>
      </c>
      <c r="L575" s="6">
        <f>0.92*DISTÂNCIA3[[#This Row],[KM distancia]]*4.578</f>
        <v>513.83472000000006</v>
      </c>
      <c r="M575" s="6">
        <f t="shared" si="21"/>
        <v>1266.79</v>
      </c>
    </row>
    <row r="576" spans="1:13" hidden="1" x14ac:dyDescent="0.35">
      <c r="A576">
        <f>'DASE DADOS - DISTANCIA'!A576</f>
        <v>5726220</v>
      </c>
      <c r="B576" t="str">
        <f>'DASE DADOS - DISTANCIA'!B576</f>
        <v>ROGERIO BARABA</v>
      </c>
      <c r="C576" t="str">
        <f>'DASE DADOS - DISTANCIA'!C576</f>
        <v xml:space="preserve"> A1</v>
      </c>
      <c r="D576" t="str">
        <f>'DASE DADOS - DISTANCIA'!E576</f>
        <v>CASCAVEL</v>
      </c>
      <c r="E576" t="str">
        <f>'DASE DADOS - DISTANCIA'!I576</f>
        <v>PLUMA</v>
      </c>
      <c r="F576" s="7">
        <v>36</v>
      </c>
      <c r="G576">
        <f>'DASE DADOS - DISTANCIA'!J576</f>
        <v>72</v>
      </c>
      <c r="H576" s="2">
        <v>420</v>
      </c>
      <c r="I576" s="2" t="e">
        <f>IF(#REF!&lt;17200,DISTÂNCIA3[[#This Row],[KM PARA PAGAMENTO DOS FRETES]]*4.74,((#REF!/17200)*4.74)*DISTÂNCIA3[[#This Row],[KM PARA PAGAMENTO DOS FRETES]])</f>
        <v>#REF!</v>
      </c>
      <c r="J576" s="4">
        <f>DISTÂNCIA3[[#This Row],[Valor CTE]]/DISTÂNCIA3[[#This Row],[KM PARA PAGAMENTO DOS FRETES]]</f>
        <v>7.0954166666666669</v>
      </c>
      <c r="K576" s="6">
        <f t="shared" si="20"/>
        <v>359.25</v>
      </c>
      <c r="L576" s="6">
        <f>0.92*DISTÂNCIA3[[#This Row],[KM distancia]]*4.578</f>
        <v>151.62336000000002</v>
      </c>
      <c r="M576" s="6">
        <f t="shared" si="21"/>
        <v>510.87</v>
      </c>
    </row>
    <row r="577" spans="1:13" hidden="1" x14ac:dyDescent="0.35">
      <c r="A577">
        <f>'DASE DADOS - DISTANCIA'!A577</f>
        <v>41222</v>
      </c>
      <c r="B577" t="str">
        <f>'DASE DADOS - DISTANCIA'!B577</f>
        <v>ROGERIO BRANDINI</v>
      </c>
      <c r="C577" t="str">
        <f>'DASE DADOS - DISTANCIA'!C577</f>
        <v xml:space="preserve"> A2</v>
      </c>
      <c r="D577" t="str">
        <f>'DASE DADOS - DISTANCIA'!E577</f>
        <v>TRÊS BARRAS DO PARANÁ</v>
      </c>
      <c r="E577" t="str">
        <f>'DASE DADOS - DISTANCIA'!I577</f>
        <v>PLUSVAL</v>
      </c>
      <c r="F577" s="7">
        <v>90</v>
      </c>
      <c r="G577">
        <f>'DASE DADOS - DISTANCIA'!J577</f>
        <v>180</v>
      </c>
      <c r="H577" s="2">
        <v>420</v>
      </c>
      <c r="I577" s="2" t="e">
        <f>IF(#REF!&lt;17200,DISTÂNCIA3[[#This Row],[KM PARA PAGAMENTO DOS FRETES]]*4.74,((#REF!/17200)*4.74)*DISTÂNCIA3[[#This Row],[KM PARA PAGAMENTO DOS FRETES]])</f>
        <v>#REF!</v>
      </c>
      <c r="J577" s="4">
        <f>DISTÂNCIA3[[#This Row],[Valor CTE]]/DISTÂNCIA3[[#This Row],[KM PARA PAGAMENTO DOS FRETES]]</f>
        <v>5.4751111111111106</v>
      </c>
      <c r="K577" s="6">
        <f t="shared" si="20"/>
        <v>606.46</v>
      </c>
      <c r="L577" s="6">
        <f>0.92*DISTÂNCIA3[[#This Row],[KM distancia]]*4.578</f>
        <v>379.05840000000001</v>
      </c>
      <c r="M577" s="6">
        <f t="shared" si="21"/>
        <v>985.52</v>
      </c>
    </row>
    <row r="578" spans="1:13" hidden="1" x14ac:dyDescent="0.35">
      <c r="A578">
        <f>'DASE DADOS - DISTANCIA'!A578</f>
        <v>41222</v>
      </c>
      <c r="B578" t="str">
        <f>'DASE DADOS - DISTANCIA'!B578</f>
        <v>ROGERIO BRANDINI</v>
      </c>
      <c r="C578" t="str">
        <f>'DASE DADOS - DISTANCIA'!C578</f>
        <v xml:space="preserve"> A1</v>
      </c>
      <c r="D578" t="str">
        <f>'DASE DADOS - DISTANCIA'!E578</f>
        <v>TRÊS BARRAS DO PARANÁ</v>
      </c>
      <c r="E578" t="str">
        <f>'DASE DADOS - DISTANCIA'!I578</f>
        <v>PLUSVAL</v>
      </c>
      <c r="F578" s="7">
        <v>90</v>
      </c>
      <c r="G578">
        <f>'DASE DADOS - DISTANCIA'!J578</f>
        <v>180</v>
      </c>
      <c r="H578" s="2">
        <v>420</v>
      </c>
      <c r="I578" s="2" t="e">
        <f>IF(#REF!&lt;17200,DISTÂNCIA3[[#This Row],[KM PARA PAGAMENTO DOS FRETES]]*4.74,((#REF!/17200)*4.74)*DISTÂNCIA3[[#This Row],[KM PARA PAGAMENTO DOS FRETES]])</f>
        <v>#REF!</v>
      </c>
      <c r="J578" s="4">
        <f>DISTÂNCIA3[[#This Row],[Valor CTE]]/DISTÂNCIA3[[#This Row],[KM PARA PAGAMENTO DOS FRETES]]</f>
        <v>5.4751111111111106</v>
      </c>
      <c r="K578" s="6">
        <f t="shared" ref="K578:K641" si="22">ROUND((F578*4.578)+194.44,2)</f>
        <v>606.46</v>
      </c>
      <c r="L578" s="6">
        <f>0.92*DISTÂNCIA3[[#This Row],[KM distancia]]*4.578</f>
        <v>379.05840000000001</v>
      </c>
      <c r="M578" s="6">
        <f t="shared" si="21"/>
        <v>985.52</v>
      </c>
    </row>
    <row r="579" spans="1:13" hidden="1" x14ac:dyDescent="0.35">
      <c r="A579">
        <f>'DASE DADOS - DISTANCIA'!A579</f>
        <v>5407354</v>
      </c>
      <c r="B579" t="str">
        <f>'DASE DADOS - DISTANCIA'!B579</f>
        <v>ROZELIO ROSTIROLLA</v>
      </c>
      <c r="C579" t="str">
        <f>'DASE DADOS - DISTANCIA'!C579</f>
        <v xml:space="preserve"> A2</v>
      </c>
      <c r="D579" t="str">
        <f>'DASE DADOS - DISTANCIA'!E579</f>
        <v>CASCAVEL</v>
      </c>
      <c r="E579" t="str">
        <f>'DASE DADOS - DISTANCIA'!I579</f>
        <v>PLUMA</v>
      </c>
      <c r="F579" s="7">
        <v>35</v>
      </c>
      <c r="G579">
        <f>'DASE DADOS - DISTANCIA'!J579</f>
        <v>70</v>
      </c>
      <c r="H579" s="2">
        <v>420</v>
      </c>
      <c r="I579" s="2" t="e">
        <f>IF(#REF!&lt;17200,DISTÂNCIA3[[#This Row],[KM PARA PAGAMENTO DOS FRETES]]*4.74,((#REF!/17200)*4.74)*DISTÂNCIA3[[#This Row],[KM PARA PAGAMENTO DOS FRETES]])</f>
        <v>#REF!</v>
      </c>
      <c r="J579" s="4">
        <f>DISTÂNCIA3[[#This Row],[Valor CTE]]/DISTÂNCIA3[[#This Row],[KM PARA PAGAMENTO DOS FRETES]]</f>
        <v>7.1725714285714286</v>
      </c>
      <c r="K579" s="6">
        <f t="shared" si="22"/>
        <v>354.67</v>
      </c>
      <c r="L579" s="6">
        <f>0.92*DISTÂNCIA3[[#This Row],[KM distancia]]*4.578</f>
        <v>147.41160000000002</v>
      </c>
      <c r="M579" s="6">
        <f t="shared" ref="M579:M642" si="23">ROUND(((F579*4.578)+194.44)+(0.92*F579*4.578),2)</f>
        <v>502.08</v>
      </c>
    </row>
    <row r="580" spans="1:13" hidden="1" x14ac:dyDescent="0.35">
      <c r="A580">
        <f>'DASE DADOS - DISTANCIA'!A580</f>
        <v>6465641</v>
      </c>
      <c r="B580" t="str">
        <f>'DASE DADOS - DISTANCIA'!B580</f>
        <v>ROBERTO RIVELINO LOPES MAESTRE</v>
      </c>
      <c r="C580" t="str">
        <f>'DASE DADOS - DISTANCIA'!C580</f>
        <v>A1</v>
      </c>
      <c r="D580" t="str">
        <f>'DASE DADOS - DISTANCIA'!E580</f>
        <v>SÃO PEDRO DO IGUAÇU</v>
      </c>
      <c r="E580" t="str">
        <f>'DASE DADOS - DISTANCIA'!I580</f>
        <v>PLUMA</v>
      </c>
      <c r="F580" s="7">
        <v>56</v>
      </c>
      <c r="G580">
        <f>'DASE DADOS - DISTANCIA'!J580</f>
        <v>112</v>
      </c>
      <c r="H580" s="2">
        <v>420</v>
      </c>
      <c r="I580" s="2" t="e">
        <f>IF(#REF!&lt;17200,DISTÂNCIA3[[#This Row],[KM PARA PAGAMENTO DOS FRETES]]*4.74,((#REF!/17200)*4.74)*DISTÂNCIA3[[#This Row],[KM PARA PAGAMENTO DOS FRETES]])</f>
        <v>#REF!</v>
      </c>
      <c r="J580" s="4">
        <f>DISTÂNCIA3[[#This Row],[Valor CTE]]/DISTÂNCIA3[[#This Row],[KM PARA PAGAMENTO DOS FRETES]]</f>
        <v>6.1309821428571425</v>
      </c>
      <c r="K580" s="6">
        <f t="shared" si="22"/>
        <v>450.81</v>
      </c>
      <c r="L580" s="6">
        <f>0.92*DISTÂNCIA3[[#This Row],[KM distancia]]*4.578</f>
        <v>235.85856000000004</v>
      </c>
      <c r="M580" s="6">
        <f t="shared" si="23"/>
        <v>686.67</v>
      </c>
    </row>
    <row r="581" spans="1:13" hidden="1" x14ac:dyDescent="0.35">
      <c r="A581">
        <f>'DASE DADOS - DISTANCIA'!A581</f>
        <v>5407354</v>
      </c>
      <c r="B581" t="str">
        <f>'DASE DADOS - DISTANCIA'!B581</f>
        <v>ROZELIO ROSTIROLLA</v>
      </c>
      <c r="C581" t="str">
        <f>'DASE DADOS - DISTANCIA'!C581</f>
        <v xml:space="preserve"> A1</v>
      </c>
      <c r="D581" t="str">
        <f>'DASE DADOS - DISTANCIA'!E581</f>
        <v>CASCAVEL</v>
      </c>
      <c r="E581" t="str">
        <f>'DASE DADOS - DISTANCIA'!I581</f>
        <v>PLUMA</v>
      </c>
      <c r="F581" s="7">
        <v>35</v>
      </c>
      <c r="G581">
        <f>'DASE DADOS - DISTANCIA'!J581</f>
        <v>70</v>
      </c>
      <c r="H581" s="2">
        <v>420</v>
      </c>
      <c r="I581" s="2" t="e">
        <f>IF(#REF!&lt;17200,DISTÂNCIA3[[#This Row],[KM PARA PAGAMENTO DOS FRETES]]*4.74,((#REF!/17200)*4.74)*DISTÂNCIA3[[#This Row],[KM PARA PAGAMENTO DOS FRETES]])</f>
        <v>#REF!</v>
      </c>
      <c r="J581" s="4">
        <f>DISTÂNCIA3[[#This Row],[Valor CTE]]/DISTÂNCIA3[[#This Row],[KM PARA PAGAMENTO DOS FRETES]]</f>
        <v>7.1725714285714286</v>
      </c>
      <c r="K581" s="6">
        <f t="shared" si="22"/>
        <v>354.67</v>
      </c>
      <c r="L581" s="6">
        <f>0.92*DISTÂNCIA3[[#This Row],[KM distancia]]*4.578</f>
        <v>147.41160000000002</v>
      </c>
      <c r="M581" s="6">
        <f t="shared" si="23"/>
        <v>502.08</v>
      </c>
    </row>
    <row r="582" spans="1:13" hidden="1" x14ac:dyDescent="0.35">
      <c r="A582">
        <f>'DASE DADOS - DISTANCIA'!A582</f>
        <v>6465641</v>
      </c>
      <c r="B582" t="str">
        <f>'DASE DADOS - DISTANCIA'!B582</f>
        <v>ROBERTO RIVELINO LOPES MAESTRE</v>
      </c>
      <c r="C582" t="str">
        <f>'DASE DADOS - DISTANCIA'!C582</f>
        <v>A2</v>
      </c>
      <c r="D582" t="str">
        <f>'DASE DADOS - DISTANCIA'!E582</f>
        <v>SÃO PEDRO DO IGUAÇU</v>
      </c>
      <c r="E582" t="str">
        <f>'DASE DADOS - DISTANCIA'!I582</f>
        <v>PLUMA</v>
      </c>
      <c r="F582" s="7">
        <v>56</v>
      </c>
      <c r="G582">
        <f>'DASE DADOS - DISTANCIA'!J582</f>
        <v>112</v>
      </c>
      <c r="H582" s="2">
        <v>420</v>
      </c>
      <c r="I582" s="2" t="e">
        <f>IF(#REF!&lt;17200,DISTÂNCIA3[[#This Row],[KM PARA PAGAMENTO DOS FRETES]]*4.74,((#REF!/17200)*4.74)*DISTÂNCIA3[[#This Row],[KM PARA PAGAMENTO DOS FRETES]])</f>
        <v>#REF!</v>
      </c>
      <c r="J582" s="4">
        <f>DISTÂNCIA3[[#This Row],[Valor CTE]]/DISTÂNCIA3[[#This Row],[KM PARA PAGAMENTO DOS FRETES]]</f>
        <v>6.1309821428571425</v>
      </c>
      <c r="K582" s="6">
        <f t="shared" si="22"/>
        <v>450.81</v>
      </c>
      <c r="L582" s="6">
        <f>0.92*DISTÂNCIA3[[#This Row],[KM distancia]]*4.578</f>
        <v>235.85856000000004</v>
      </c>
      <c r="M582" s="6">
        <f t="shared" si="23"/>
        <v>686.67</v>
      </c>
    </row>
    <row r="583" spans="1:13" hidden="1" x14ac:dyDescent="0.35">
      <c r="A583">
        <f>'DASE DADOS - DISTANCIA'!A583</f>
        <v>5407354</v>
      </c>
      <c r="B583" t="str">
        <f>'DASE DADOS - DISTANCIA'!B583</f>
        <v>ROZELIO ROSTIROLLA</v>
      </c>
      <c r="C583" t="str">
        <f>'DASE DADOS - DISTANCIA'!C583</f>
        <v xml:space="preserve"> A3</v>
      </c>
      <c r="D583" t="str">
        <f>'DASE DADOS - DISTANCIA'!E583</f>
        <v>CASCAVEL</v>
      </c>
      <c r="E583" t="str">
        <f>'DASE DADOS - DISTANCIA'!I583</f>
        <v>PLUMA</v>
      </c>
      <c r="F583" s="7">
        <v>35</v>
      </c>
      <c r="G583">
        <f>'DASE DADOS - DISTANCIA'!J583</f>
        <v>70</v>
      </c>
      <c r="H583" s="2">
        <v>420</v>
      </c>
      <c r="I583" s="2" t="e">
        <f>IF(#REF!&lt;17200,DISTÂNCIA3[[#This Row],[KM PARA PAGAMENTO DOS FRETES]]*4.74,((#REF!/17200)*4.74)*DISTÂNCIA3[[#This Row],[KM PARA PAGAMENTO DOS FRETES]])</f>
        <v>#REF!</v>
      </c>
      <c r="J583" s="4">
        <f>DISTÂNCIA3[[#This Row],[Valor CTE]]/DISTÂNCIA3[[#This Row],[KM PARA PAGAMENTO DOS FRETES]]</f>
        <v>7.1725714285714286</v>
      </c>
      <c r="K583" s="6">
        <f t="shared" si="22"/>
        <v>354.67</v>
      </c>
      <c r="L583" s="6">
        <f>0.92*DISTÂNCIA3[[#This Row],[KM distancia]]*4.578</f>
        <v>147.41160000000002</v>
      </c>
      <c r="M583" s="6">
        <f t="shared" si="23"/>
        <v>502.08</v>
      </c>
    </row>
    <row r="584" spans="1:13" hidden="1" x14ac:dyDescent="0.35">
      <c r="A584">
        <f>'DASE DADOS - DISTANCIA'!A584</f>
        <v>5934583</v>
      </c>
      <c r="B584" t="str">
        <f>'DASE DADOS - DISTANCIA'!B584</f>
        <v>SERGIO BREDLAU</v>
      </c>
      <c r="C584" t="str">
        <f>'DASE DADOS - DISTANCIA'!C584</f>
        <v xml:space="preserve"> A2</v>
      </c>
      <c r="D584" t="str">
        <f>'DASE DADOS - DISTANCIA'!E584</f>
        <v>NOVA SANTA ROSA</v>
      </c>
      <c r="E584" t="str">
        <f>'DASE DADOS - DISTANCIA'!I584</f>
        <v>PLUMA</v>
      </c>
      <c r="F584" s="7">
        <v>94</v>
      </c>
      <c r="G584">
        <f>'DASE DADOS - DISTANCIA'!J584</f>
        <v>188</v>
      </c>
      <c r="H584" s="2">
        <v>420</v>
      </c>
      <c r="I584" s="2" t="e">
        <f>IF(#REF!&lt;17200,DISTÂNCIA3[[#This Row],[KM PARA PAGAMENTO DOS FRETES]]*4.74,((#REF!/17200)*4.74)*DISTÂNCIA3[[#This Row],[KM PARA PAGAMENTO DOS FRETES]])</f>
        <v>#REF!</v>
      </c>
      <c r="J584" s="4">
        <f>DISTÂNCIA3[[#This Row],[Valor CTE]]/DISTÂNCIA3[[#This Row],[KM PARA PAGAMENTO DOS FRETES]]</f>
        <v>5.4291489361702121</v>
      </c>
      <c r="K584" s="6">
        <f t="shared" si="22"/>
        <v>624.77</v>
      </c>
      <c r="L584" s="6">
        <f>0.92*DISTÂNCIA3[[#This Row],[KM distancia]]*4.578</f>
        <v>395.90544000000006</v>
      </c>
      <c r="M584" s="6">
        <f t="shared" si="23"/>
        <v>1020.68</v>
      </c>
    </row>
    <row r="585" spans="1:13" hidden="1" x14ac:dyDescent="0.35">
      <c r="A585">
        <f>'DASE DADOS - DISTANCIA'!A585</f>
        <v>5934583</v>
      </c>
      <c r="B585" t="str">
        <f>'DASE DADOS - DISTANCIA'!B585</f>
        <v>SERGIO BREDLAU</v>
      </c>
      <c r="C585" t="str">
        <f>'DASE DADOS - DISTANCIA'!C585</f>
        <v xml:space="preserve"> A1</v>
      </c>
      <c r="D585" t="str">
        <f>'DASE DADOS - DISTANCIA'!E585</f>
        <v>NOVA SANTA ROSA</v>
      </c>
      <c r="E585" t="str">
        <f>'DASE DADOS - DISTANCIA'!I585</f>
        <v>PLUMA</v>
      </c>
      <c r="F585" s="7">
        <v>94</v>
      </c>
      <c r="G585">
        <f>'DASE DADOS - DISTANCIA'!J585</f>
        <v>188</v>
      </c>
      <c r="H585" s="2">
        <v>420</v>
      </c>
      <c r="I585" s="2" t="e">
        <f>IF(#REF!&lt;17200,DISTÂNCIA3[[#This Row],[KM PARA PAGAMENTO DOS FRETES]]*4.74,((#REF!/17200)*4.74)*DISTÂNCIA3[[#This Row],[KM PARA PAGAMENTO DOS FRETES]])</f>
        <v>#REF!</v>
      </c>
      <c r="J585" s="4">
        <f>DISTÂNCIA3[[#This Row],[Valor CTE]]/DISTÂNCIA3[[#This Row],[KM PARA PAGAMENTO DOS FRETES]]</f>
        <v>5.4291489361702121</v>
      </c>
      <c r="K585" s="6">
        <f t="shared" si="22"/>
        <v>624.77</v>
      </c>
      <c r="L585" s="6">
        <f>0.92*DISTÂNCIA3[[#This Row],[KM distancia]]*4.578</f>
        <v>395.90544000000006</v>
      </c>
      <c r="M585" s="6">
        <f t="shared" si="23"/>
        <v>1020.68</v>
      </c>
    </row>
    <row r="586" spans="1:13" hidden="1" x14ac:dyDescent="0.35">
      <c r="A586">
        <f>'DASE DADOS - DISTANCIA'!A586</f>
        <v>30029</v>
      </c>
      <c r="B586" t="str">
        <f>'DASE DADOS - DISTANCIA'!B586</f>
        <v>SERGIO KIELING</v>
      </c>
      <c r="C586" t="str">
        <f>'DASE DADOS - DISTANCIA'!C586</f>
        <v xml:space="preserve"> A1</v>
      </c>
      <c r="D586" t="str">
        <f>'DASE DADOS - DISTANCIA'!E586</f>
        <v>CAPANEMA</v>
      </c>
      <c r="E586" t="str">
        <f>'DASE DADOS - DISTANCIA'!I586</f>
        <v>PLUSVAL</v>
      </c>
      <c r="F586" s="7">
        <v>101</v>
      </c>
      <c r="G586">
        <f>'DASE DADOS - DISTANCIA'!J586</f>
        <v>202</v>
      </c>
      <c r="H586" s="2">
        <v>420</v>
      </c>
      <c r="I586" s="2" t="e">
        <f>IF(#REF!&lt;17200,DISTÂNCIA3[[#This Row],[KM PARA PAGAMENTO DOS FRETES]]*4.74,((#REF!/17200)*4.74)*DISTÂNCIA3[[#This Row],[KM PARA PAGAMENTO DOS FRETES]])</f>
        <v>#REF!</v>
      </c>
      <c r="J586" s="4">
        <f>DISTÂNCIA3[[#This Row],[Valor CTE]]/DISTÂNCIA3[[#This Row],[KM PARA PAGAMENTO DOS FRETES]]</f>
        <v>5.3574752475247527</v>
      </c>
      <c r="K586" s="6">
        <f t="shared" si="22"/>
        <v>656.82</v>
      </c>
      <c r="L586" s="6">
        <f>0.92*DISTÂNCIA3[[#This Row],[KM distancia]]*4.578</f>
        <v>425.38776000000001</v>
      </c>
      <c r="M586" s="6">
        <f t="shared" si="23"/>
        <v>1082.21</v>
      </c>
    </row>
    <row r="587" spans="1:13" hidden="1" x14ac:dyDescent="0.35">
      <c r="A587">
        <f>'DASE DADOS - DISTANCIA'!A587</f>
        <v>30029</v>
      </c>
      <c r="B587" t="str">
        <f>'DASE DADOS - DISTANCIA'!B587</f>
        <v>SERGIO KIELING</v>
      </c>
      <c r="C587" t="str">
        <f>'DASE DADOS - DISTANCIA'!C587</f>
        <v xml:space="preserve"> A2</v>
      </c>
      <c r="D587" t="str">
        <f>'DASE DADOS - DISTANCIA'!E587</f>
        <v>CAPANEMA</v>
      </c>
      <c r="E587" t="str">
        <f>'DASE DADOS - DISTANCIA'!I587</f>
        <v>PLUSVAL</v>
      </c>
      <c r="F587" s="7">
        <v>101</v>
      </c>
      <c r="G587">
        <f>'DASE DADOS - DISTANCIA'!J587</f>
        <v>202</v>
      </c>
      <c r="H587" s="2">
        <v>420</v>
      </c>
      <c r="I587" s="2" t="e">
        <f>IF(#REF!&lt;17200,DISTÂNCIA3[[#This Row],[KM PARA PAGAMENTO DOS FRETES]]*4.74,((#REF!/17200)*4.74)*DISTÂNCIA3[[#This Row],[KM PARA PAGAMENTO DOS FRETES]])</f>
        <v>#REF!</v>
      </c>
      <c r="J587" s="4">
        <f>DISTÂNCIA3[[#This Row],[Valor CTE]]/DISTÂNCIA3[[#This Row],[KM PARA PAGAMENTO DOS FRETES]]</f>
        <v>5.3574752475247527</v>
      </c>
      <c r="K587" s="6">
        <f t="shared" si="22"/>
        <v>656.82</v>
      </c>
      <c r="L587" s="6">
        <f>0.92*DISTÂNCIA3[[#This Row],[KM distancia]]*4.578</f>
        <v>425.38776000000001</v>
      </c>
      <c r="M587" s="6">
        <f t="shared" si="23"/>
        <v>1082.21</v>
      </c>
    </row>
    <row r="588" spans="1:13" hidden="1" x14ac:dyDescent="0.35">
      <c r="A588">
        <f>'DASE DADOS - DISTANCIA'!A588</f>
        <v>30029</v>
      </c>
      <c r="B588" t="str">
        <f>'DASE DADOS - DISTANCIA'!B588</f>
        <v>SERGIO KIELING</v>
      </c>
      <c r="C588" t="str">
        <f>'DASE DADOS - DISTANCIA'!C588</f>
        <v xml:space="preserve"> A3</v>
      </c>
      <c r="D588" t="str">
        <f>'DASE DADOS - DISTANCIA'!E588</f>
        <v>CAPANEMA</v>
      </c>
      <c r="E588" t="str">
        <f>'DASE DADOS - DISTANCIA'!I588</f>
        <v>PLUSVAL</v>
      </c>
      <c r="F588" s="7">
        <v>101</v>
      </c>
      <c r="G588">
        <f>'DASE DADOS - DISTANCIA'!J588</f>
        <v>202</v>
      </c>
      <c r="H588" s="2">
        <v>420</v>
      </c>
      <c r="I588" s="2" t="e">
        <f>IF(#REF!&lt;17200,DISTÂNCIA3[[#This Row],[KM PARA PAGAMENTO DOS FRETES]]*4.74,((#REF!/17200)*4.74)*DISTÂNCIA3[[#This Row],[KM PARA PAGAMENTO DOS FRETES]])</f>
        <v>#REF!</v>
      </c>
      <c r="J588" s="4">
        <f>DISTÂNCIA3[[#This Row],[Valor CTE]]/DISTÂNCIA3[[#This Row],[KM PARA PAGAMENTO DOS FRETES]]</f>
        <v>5.3574752475247527</v>
      </c>
      <c r="K588" s="6">
        <f t="shared" si="22"/>
        <v>656.82</v>
      </c>
      <c r="L588" s="6">
        <f>0.92*DISTÂNCIA3[[#This Row],[KM distancia]]*4.578</f>
        <v>425.38776000000001</v>
      </c>
      <c r="M588" s="6">
        <f t="shared" si="23"/>
        <v>1082.21</v>
      </c>
    </row>
    <row r="589" spans="1:13" hidden="1" x14ac:dyDescent="0.35">
      <c r="A589">
        <f>'DASE DADOS - DISTANCIA'!A589</f>
        <v>537233</v>
      </c>
      <c r="B589" t="str">
        <f>'DASE DADOS - DISTANCIA'!B589</f>
        <v>SERGIO LUIZ SALLET</v>
      </c>
      <c r="C589" t="str">
        <f>'DASE DADOS - DISTANCIA'!C589</f>
        <v xml:space="preserve"> A1</v>
      </c>
      <c r="D589" t="str">
        <f>'DASE DADOS - DISTANCIA'!E589</f>
        <v>OURO VERDE DO OESTE</v>
      </c>
      <c r="E589" t="str">
        <f>'DASE DADOS - DISTANCIA'!I589</f>
        <v>PLUMA</v>
      </c>
      <c r="F589" s="7">
        <v>73</v>
      </c>
      <c r="G589">
        <f>'DASE DADOS - DISTANCIA'!J589</f>
        <v>146</v>
      </c>
      <c r="H589" s="2">
        <v>420</v>
      </c>
      <c r="I589" s="2" t="e">
        <f>IF(#REF!&lt;17200,DISTÂNCIA3[[#This Row],[KM PARA PAGAMENTO DOS FRETES]]*4.74,((#REF!/17200)*4.74)*DISTÂNCIA3[[#This Row],[KM PARA PAGAMENTO DOS FRETES]])</f>
        <v>#REF!</v>
      </c>
      <c r="J589" s="4">
        <f>DISTÂNCIA3[[#This Row],[Valor CTE]]/DISTÂNCIA3[[#This Row],[KM PARA PAGAMENTO DOS FRETES]]</f>
        <v>5.7266438356164384</v>
      </c>
      <c r="K589" s="6">
        <f t="shared" si="22"/>
        <v>528.63</v>
      </c>
      <c r="L589" s="6">
        <f>0.92*DISTÂNCIA3[[#This Row],[KM distancia]]*4.578</f>
        <v>307.45848000000001</v>
      </c>
      <c r="M589" s="6">
        <f t="shared" si="23"/>
        <v>836.09</v>
      </c>
    </row>
    <row r="590" spans="1:13" hidden="1" x14ac:dyDescent="0.35">
      <c r="A590">
        <f>'DASE DADOS - DISTANCIA'!A590</f>
        <v>3370941</v>
      </c>
      <c r="B590" t="str">
        <f>'DASE DADOS - DISTANCIA'!B590</f>
        <v>SERGIO TARCISIO LUNKES</v>
      </c>
      <c r="C590" t="str">
        <f>'DASE DADOS - DISTANCIA'!C590</f>
        <v xml:space="preserve"> A1</v>
      </c>
      <c r="D590" t="str">
        <f>'DASE DADOS - DISTANCIA'!E590</f>
        <v>TOLEDO</v>
      </c>
      <c r="E590" t="str">
        <f>'DASE DADOS - DISTANCIA'!I590</f>
        <v>PLUMA</v>
      </c>
      <c r="F590" s="7">
        <v>72</v>
      </c>
      <c r="G590">
        <f>'DASE DADOS - DISTANCIA'!J590</f>
        <v>144</v>
      </c>
      <c r="H590" s="2">
        <v>420</v>
      </c>
      <c r="I590" s="2" t="e">
        <f>IF(#REF!&lt;17200,DISTÂNCIA3[[#This Row],[KM PARA PAGAMENTO DOS FRETES]]*4.74,((#REF!/17200)*4.74)*DISTÂNCIA3[[#This Row],[KM PARA PAGAMENTO DOS FRETES]])</f>
        <v>#REF!</v>
      </c>
      <c r="J590" s="4">
        <f>DISTÂNCIA3[[#This Row],[Valor CTE]]/DISTÂNCIA3[[#This Row],[KM PARA PAGAMENTO DOS FRETES]]</f>
        <v>5.7451388888888886</v>
      </c>
      <c r="K590" s="6">
        <f t="shared" si="22"/>
        <v>524.05999999999995</v>
      </c>
      <c r="L590" s="6">
        <f>0.92*DISTÂNCIA3[[#This Row],[KM distancia]]*4.578</f>
        <v>303.24672000000004</v>
      </c>
      <c r="M590" s="6">
        <f t="shared" si="23"/>
        <v>827.3</v>
      </c>
    </row>
    <row r="591" spans="1:13" hidden="1" x14ac:dyDescent="0.35">
      <c r="A591">
        <f>'DASE DADOS - DISTANCIA'!A591</f>
        <v>3370941</v>
      </c>
      <c r="B591" t="str">
        <f>'DASE DADOS - DISTANCIA'!B591</f>
        <v>SERGIO TARCISIO LUNKES</v>
      </c>
      <c r="C591" t="str">
        <f>'DASE DADOS - DISTANCIA'!C591</f>
        <v xml:space="preserve"> A2</v>
      </c>
      <c r="D591" t="str">
        <f>'DASE DADOS - DISTANCIA'!E591</f>
        <v>TOLEDO</v>
      </c>
      <c r="E591" t="str">
        <f>'DASE DADOS - DISTANCIA'!I591</f>
        <v>PLUMA</v>
      </c>
      <c r="F591" s="7">
        <v>72</v>
      </c>
      <c r="G591">
        <f>'DASE DADOS - DISTANCIA'!J591</f>
        <v>144</v>
      </c>
      <c r="H591" s="2">
        <v>420</v>
      </c>
      <c r="I591" s="2" t="e">
        <f>IF(#REF!&lt;17200,DISTÂNCIA3[[#This Row],[KM PARA PAGAMENTO DOS FRETES]]*4.74,((#REF!/17200)*4.74)*DISTÂNCIA3[[#This Row],[KM PARA PAGAMENTO DOS FRETES]])</f>
        <v>#REF!</v>
      </c>
      <c r="J591" s="4">
        <f>DISTÂNCIA3[[#This Row],[Valor CTE]]/DISTÂNCIA3[[#This Row],[KM PARA PAGAMENTO DOS FRETES]]</f>
        <v>5.7451388888888886</v>
      </c>
      <c r="K591" s="6">
        <f t="shared" si="22"/>
        <v>524.05999999999995</v>
      </c>
      <c r="L591" s="6">
        <f>0.92*DISTÂNCIA3[[#This Row],[KM distancia]]*4.578</f>
        <v>303.24672000000004</v>
      </c>
      <c r="M591" s="6">
        <f t="shared" si="23"/>
        <v>827.3</v>
      </c>
    </row>
    <row r="592" spans="1:13" hidden="1" x14ac:dyDescent="0.35">
      <c r="A592">
        <f>'DASE DADOS - DISTANCIA'!A592</f>
        <v>30069</v>
      </c>
      <c r="B592" t="str">
        <f>'DASE DADOS - DISTANCIA'!B592</f>
        <v>SIDINEI DICKEL</v>
      </c>
      <c r="C592" t="str">
        <f>'DASE DADOS - DISTANCIA'!C592</f>
        <v xml:space="preserve"> A2</v>
      </c>
      <c r="D592" t="str">
        <f>'DASE DADOS - DISTANCIA'!E592</f>
        <v>CAPITÃO LEÔNIDAS MARQUES</v>
      </c>
      <c r="E592" t="str">
        <f>'DASE DADOS - DISTANCIA'!I592</f>
        <v>PLUSVAL</v>
      </c>
      <c r="F592" s="7">
        <v>68.5</v>
      </c>
      <c r="G592">
        <f>'DASE DADOS - DISTANCIA'!J592</f>
        <v>137</v>
      </c>
      <c r="H592" s="2">
        <v>420</v>
      </c>
      <c r="I592" s="2" t="e">
        <f>IF(#REF!&lt;17200,DISTÂNCIA3[[#This Row],[KM PARA PAGAMENTO DOS FRETES]]*4.74,((#REF!/17200)*4.74)*DISTÂNCIA3[[#This Row],[KM PARA PAGAMENTO DOS FRETES]])</f>
        <v>#REF!</v>
      </c>
      <c r="J592" s="4">
        <f>DISTÂNCIA3[[#This Row],[Valor CTE]]/DISTÂNCIA3[[#This Row],[KM PARA PAGAMENTO DOS FRETES]]</f>
        <v>5.8141605839416055</v>
      </c>
      <c r="K592" s="6">
        <f t="shared" si="22"/>
        <v>508.03</v>
      </c>
      <c r="L592" s="6">
        <f>0.92*DISTÂNCIA3[[#This Row],[KM distancia]]*4.578</f>
        <v>288.50556000000006</v>
      </c>
      <c r="M592" s="6">
        <f t="shared" si="23"/>
        <v>796.54</v>
      </c>
    </row>
    <row r="593" spans="1:13" hidden="1" x14ac:dyDescent="0.35">
      <c r="A593">
        <f>'DASE DADOS - DISTANCIA'!A593</f>
        <v>0</v>
      </c>
      <c r="B593" t="str">
        <f>'DASE DADOS - DISTANCIA'!B593</f>
        <v>ROGELIO KARVAT</v>
      </c>
      <c r="C593" t="str">
        <f>'DASE DADOS - DISTANCIA'!C593</f>
        <v xml:space="preserve"> A1</v>
      </c>
      <c r="D593" t="str">
        <f>'DASE DADOS - DISTANCIA'!E593</f>
        <v>CASCAVEL</v>
      </c>
      <c r="E593" t="str">
        <f>'DASE DADOS - DISTANCIA'!I593</f>
        <v>PLUMA</v>
      </c>
      <c r="F593" s="7">
        <v>30</v>
      </c>
      <c r="G593">
        <f>'DASE DADOS - DISTANCIA'!J593</f>
        <v>60</v>
      </c>
      <c r="H593" s="2">
        <v>420</v>
      </c>
      <c r="I593" s="2" t="e">
        <f>IF(#REF!&lt;17200,DISTÂNCIA3[[#This Row],[KM PARA PAGAMENTO DOS FRETES]]*4.74,((#REF!/17200)*4.74)*DISTÂNCIA3[[#This Row],[KM PARA PAGAMENTO DOS FRETES]])</f>
        <v>#REF!</v>
      </c>
      <c r="J593" s="4">
        <f>DISTÂNCIA3[[#This Row],[Valor CTE]]/DISTÂNCIA3[[#This Row],[KM PARA PAGAMENTO DOS FRETES]]</f>
        <v>7.6354999999999995</v>
      </c>
      <c r="K593" s="6">
        <f t="shared" si="22"/>
        <v>331.78</v>
      </c>
      <c r="L593" s="6">
        <f>0.92*DISTÂNCIA3[[#This Row],[KM distancia]]*4.578</f>
        <v>126.35280000000002</v>
      </c>
      <c r="M593" s="6">
        <f t="shared" si="23"/>
        <v>458.13</v>
      </c>
    </row>
    <row r="594" spans="1:13" hidden="1" x14ac:dyDescent="0.35">
      <c r="A594">
        <f>'DASE DADOS - DISTANCIA'!A594</f>
        <v>30069</v>
      </c>
      <c r="B594" t="str">
        <f>'DASE DADOS - DISTANCIA'!B594</f>
        <v>SIDINEI DICKEL</v>
      </c>
      <c r="C594" t="str">
        <f>'DASE DADOS - DISTANCIA'!C594</f>
        <v xml:space="preserve"> A1</v>
      </c>
      <c r="D594" t="str">
        <f>'DASE DADOS - DISTANCIA'!E594</f>
        <v>CAPITÃO LEÔNIDAS MARQUES</v>
      </c>
      <c r="E594" t="str">
        <f>'DASE DADOS - DISTANCIA'!I594</f>
        <v>PLUSVAL</v>
      </c>
      <c r="F594" s="7">
        <v>68.5</v>
      </c>
      <c r="G594">
        <f>'DASE DADOS - DISTANCIA'!J594</f>
        <v>137</v>
      </c>
      <c r="H594" s="2">
        <v>420</v>
      </c>
      <c r="I594" s="2" t="e">
        <f>IF(#REF!&lt;17200,DISTÂNCIA3[[#This Row],[KM PARA PAGAMENTO DOS FRETES]]*4.74,((#REF!/17200)*4.74)*DISTÂNCIA3[[#This Row],[KM PARA PAGAMENTO DOS FRETES]])</f>
        <v>#REF!</v>
      </c>
      <c r="J594" s="4">
        <f>DISTÂNCIA3[[#This Row],[Valor CTE]]/DISTÂNCIA3[[#This Row],[KM PARA PAGAMENTO DOS FRETES]]</f>
        <v>5.8141605839416055</v>
      </c>
      <c r="K594" s="6">
        <f t="shared" si="22"/>
        <v>508.03</v>
      </c>
      <c r="L594" s="6">
        <f>0.92*DISTÂNCIA3[[#This Row],[KM distancia]]*4.578</f>
        <v>288.50556000000006</v>
      </c>
      <c r="M594" s="6">
        <f t="shared" si="23"/>
        <v>796.54</v>
      </c>
    </row>
    <row r="595" spans="1:13" hidden="1" x14ac:dyDescent="0.35">
      <c r="A595">
        <f>'DASE DADOS - DISTANCIA'!A595</f>
        <v>0</v>
      </c>
      <c r="B595" t="str">
        <f>'DASE DADOS - DISTANCIA'!B595</f>
        <v>ROGELIO KARVAT</v>
      </c>
      <c r="C595" t="str">
        <f>'DASE DADOS - DISTANCIA'!C595</f>
        <v xml:space="preserve"> A2</v>
      </c>
      <c r="D595" t="str">
        <f>'DASE DADOS - DISTANCIA'!E595</f>
        <v>CASCAVEL</v>
      </c>
      <c r="E595" t="str">
        <f>'DASE DADOS - DISTANCIA'!I595</f>
        <v>PLUMA</v>
      </c>
      <c r="F595" s="7">
        <v>30</v>
      </c>
      <c r="G595">
        <f>'DASE DADOS - DISTANCIA'!J595</f>
        <v>60</v>
      </c>
      <c r="H595" s="2">
        <v>420</v>
      </c>
      <c r="I595" s="2" t="e">
        <f>IF(#REF!&lt;17200,DISTÂNCIA3[[#This Row],[KM PARA PAGAMENTO DOS FRETES]]*4.74,((#REF!/17200)*4.74)*DISTÂNCIA3[[#This Row],[KM PARA PAGAMENTO DOS FRETES]])</f>
        <v>#REF!</v>
      </c>
      <c r="J595" s="4">
        <f>DISTÂNCIA3[[#This Row],[Valor CTE]]/DISTÂNCIA3[[#This Row],[KM PARA PAGAMENTO DOS FRETES]]</f>
        <v>7.6354999999999995</v>
      </c>
      <c r="K595" s="6">
        <f t="shared" si="22"/>
        <v>331.78</v>
      </c>
      <c r="L595" s="6">
        <f>0.92*DISTÂNCIA3[[#This Row],[KM distancia]]*4.578</f>
        <v>126.35280000000002</v>
      </c>
      <c r="M595" s="6">
        <f t="shared" si="23"/>
        <v>458.13</v>
      </c>
    </row>
    <row r="596" spans="1:13" hidden="1" x14ac:dyDescent="0.35">
      <c r="A596">
        <f>'DASE DADOS - DISTANCIA'!A596</f>
        <v>4152743</v>
      </c>
      <c r="B596" t="str">
        <f>'DASE DADOS - DISTANCIA'!B596</f>
        <v>SILMAR SCHEIBNER E LAIZE LAUBE SCHEIBNER</v>
      </c>
      <c r="C596" t="str">
        <f>'DASE DADOS - DISTANCIA'!C596</f>
        <v xml:space="preserve"> A1</v>
      </c>
      <c r="D596" t="str">
        <f>'DASE DADOS - DISTANCIA'!E596</f>
        <v>NOVA SANTA ROSA</v>
      </c>
      <c r="E596" t="str">
        <f>'DASE DADOS - DISTANCIA'!I596</f>
        <v>PLUMA</v>
      </c>
      <c r="F596" s="7">
        <v>104</v>
      </c>
      <c r="G596">
        <f>'DASE DADOS - DISTANCIA'!J596</f>
        <v>208</v>
      </c>
      <c r="H596" s="2">
        <v>420</v>
      </c>
      <c r="I596" s="2" t="e">
        <f>IF(#REF!&lt;17200,DISTÂNCIA3[[#This Row],[KM PARA PAGAMENTO DOS FRETES]]*4.74,((#REF!/17200)*4.74)*DISTÂNCIA3[[#This Row],[KM PARA PAGAMENTO DOS FRETES]])</f>
        <v>#REF!</v>
      </c>
      <c r="J596" s="4">
        <f>DISTÂNCIA3[[#This Row],[Valor CTE]]/DISTÂNCIA3[[#This Row],[KM PARA PAGAMENTO DOS FRETES]]</f>
        <v>5.3297115384615381</v>
      </c>
      <c r="K596" s="6">
        <f t="shared" si="22"/>
        <v>670.55</v>
      </c>
      <c r="L596" s="6">
        <f>0.92*DISTÂNCIA3[[#This Row],[KM distancia]]*4.578</f>
        <v>438.02304000000004</v>
      </c>
      <c r="M596" s="6">
        <f t="shared" si="23"/>
        <v>1108.58</v>
      </c>
    </row>
    <row r="597" spans="1:13" hidden="1" x14ac:dyDescent="0.35">
      <c r="A597">
        <f>'DASE DADOS - DISTANCIA'!A597</f>
        <v>4152743</v>
      </c>
      <c r="B597" t="str">
        <f>'DASE DADOS - DISTANCIA'!B597</f>
        <v>SILMAR SCHEIBNER E LAIZE LAUBE SCHEIBNER</v>
      </c>
      <c r="C597" t="str">
        <f>'DASE DADOS - DISTANCIA'!C597</f>
        <v xml:space="preserve"> A2</v>
      </c>
      <c r="D597" t="str">
        <f>'DASE DADOS - DISTANCIA'!E597</f>
        <v>NOVA SANTA ROSA</v>
      </c>
      <c r="E597" t="str">
        <f>'DASE DADOS - DISTANCIA'!I597</f>
        <v>PLUMA</v>
      </c>
      <c r="F597" s="7">
        <v>104</v>
      </c>
      <c r="G597">
        <f>'DASE DADOS - DISTANCIA'!J597</f>
        <v>208</v>
      </c>
      <c r="H597" s="2">
        <v>420</v>
      </c>
      <c r="I597" s="2" t="e">
        <f>IF(#REF!&lt;17200,DISTÂNCIA3[[#This Row],[KM PARA PAGAMENTO DOS FRETES]]*4.74,((#REF!/17200)*4.74)*DISTÂNCIA3[[#This Row],[KM PARA PAGAMENTO DOS FRETES]])</f>
        <v>#REF!</v>
      </c>
      <c r="J597" s="4">
        <f>DISTÂNCIA3[[#This Row],[Valor CTE]]/DISTÂNCIA3[[#This Row],[KM PARA PAGAMENTO DOS FRETES]]</f>
        <v>5.3297115384615381</v>
      </c>
      <c r="K597" s="6">
        <f t="shared" si="22"/>
        <v>670.55</v>
      </c>
      <c r="L597" s="6">
        <f>0.92*DISTÂNCIA3[[#This Row],[KM distancia]]*4.578</f>
        <v>438.02304000000004</v>
      </c>
      <c r="M597" s="6">
        <f t="shared" si="23"/>
        <v>1108.58</v>
      </c>
    </row>
    <row r="598" spans="1:13" hidden="1" x14ac:dyDescent="0.35">
      <c r="A598">
        <f>'DASE DADOS - DISTANCIA'!A598</f>
        <v>5440394</v>
      </c>
      <c r="B598" t="str">
        <f>'DASE DADOS - DISTANCIA'!B598</f>
        <v>ROQUE ANTONIAZZI</v>
      </c>
      <c r="C598" t="str">
        <f>'DASE DADOS - DISTANCIA'!C598</f>
        <v>A1</v>
      </c>
      <c r="D598" t="str">
        <f>'DASE DADOS - DISTANCIA'!E598</f>
        <v>TUPASSI</v>
      </c>
      <c r="E598" t="str">
        <f>'DASE DADOS - DISTANCIA'!I598</f>
        <v>PLUMA</v>
      </c>
      <c r="F598" s="7">
        <v>59</v>
      </c>
      <c r="G598">
        <f>'DASE DADOS - DISTANCIA'!J598</f>
        <v>118</v>
      </c>
      <c r="H598" s="2">
        <v>420</v>
      </c>
      <c r="I598" s="2" t="e">
        <f>IF(#REF!&lt;17200,DISTÂNCIA3[[#This Row],[KM PARA PAGAMENTO DOS FRETES]]*4.74,((#REF!/17200)*4.74)*DISTÂNCIA3[[#This Row],[KM PARA PAGAMENTO DOS FRETES]])</f>
        <v>#REF!</v>
      </c>
      <c r="J598" s="4">
        <f>DISTÂNCIA3[[#This Row],[Valor CTE]]/DISTÂNCIA3[[#This Row],[KM PARA PAGAMENTO DOS FRETES]]</f>
        <v>6.0427118644067797</v>
      </c>
      <c r="K598" s="6">
        <f t="shared" si="22"/>
        <v>464.54</v>
      </c>
      <c r="L598" s="6">
        <f>0.92*DISTÂNCIA3[[#This Row],[KM distancia]]*4.578</f>
        <v>248.49384000000003</v>
      </c>
      <c r="M598" s="6">
        <f t="shared" si="23"/>
        <v>713.04</v>
      </c>
    </row>
    <row r="599" spans="1:13" hidden="1" x14ac:dyDescent="0.35">
      <c r="A599">
        <f>'DASE DADOS - DISTANCIA'!A599</f>
        <v>5440394</v>
      </c>
      <c r="B599" t="str">
        <f>'DASE DADOS - DISTANCIA'!B599</f>
        <v>ROQUE ANTONIAZZI</v>
      </c>
      <c r="C599" t="str">
        <f>'DASE DADOS - DISTANCIA'!C599</f>
        <v>A2</v>
      </c>
      <c r="D599" t="str">
        <f>'DASE DADOS - DISTANCIA'!E599</f>
        <v>TUPASSI</v>
      </c>
      <c r="E599" t="str">
        <f>'DASE DADOS - DISTANCIA'!I599</f>
        <v>PLUMA</v>
      </c>
      <c r="F599" s="7">
        <v>59</v>
      </c>
      <c r="G599">
        <f>'DASE DADOS - DISTANCIA'!J599</f>
        <v>118</v>
      </c>
      <c r="H599" s="2">
        <v>420</v>
      </c>
      <c r="I599" s="2" t="e">
        <f>IF(#REF!&lt;17200,DISTÂNCIA3[[#This Row],[KM PARA PAGAMENTO DOS FRETES]]*4.74,((#REF!/17200)*4.74)*DISTÂNCIA3[[#This Row],[KM PARA PAGAMENTO DOS FRETES]])</f>
        <v>#REF!</v>
      </c>
      <c r="J599" s="4">
        <f>DISTÂNCIA3[[#This Row],[Valor CTE]]/DISTÂNCIA3[[#This Row],[KM PARA PAGAMENTO DOS FRETES]]</f>
        <v>6.0427118644067797</v>
      </c>
      <c r="K599" s="6">
        <f t="shared" si="22"/>
        <v>464.54</v>
      </c>
      <c r="L599" s="6">
        <f>0.92*DISTÂNCIA3[[#This Row],[KM distancia]]*4.578</f>
        <v>248.49384000000003</v>
      </c>
      <c r="M599" s="6">
        <f t="shared" si="23"/>
        <v>713.04</v>
      </c>
    </row>
    <row r="600" spans="1:13" hidden="1" x14ac:dyDescent="0.35">
      <c r="A600">
        <f>'DASE DADOS - DISTANCIA'!A600</f>
        <v>0</v>
      </c>
      <c r="B600" t="str">
        <f>'DASE DADOS - DISTANCIA'!B600</f>
        <v>ROSEMIR PEROZZO</v>
      </c>
      <c r="C600" t="str">
        <f>'DASE DADOS - DISTANCIA'!C600</f>
        <v xml:space="preserve"> A2</v>
      </c>
      <c r="D600" t="str">
        <f>'DASE DADOS - DISTANCIA'!E600</f>
        <v>CASCAVEL</v>
      </c>
      <c r="E600" t="str">
        <f>'DASE DADOS - DISTANCIA'!I600</f>
        <v>PLUMA</v>
      </c>
      <c r="F600" s="7">
        <v>29</v>
      </c>
      <c r="G600">
        <f>'DASE DADOS - DISTANCIA'!J600</f>
        <v>58</v>
      </c>
      <c r="H600" s="2">
        <v>420</v>
      </c>
      <c r="I600" s="2" t="e">
        <f>IF(#REF!&lt;17200,DISTÂNCIA3[[#This Row],[KM PARA PAGAMENTO DOS FRETES]]*4.74,((#REF!/17200)*4.74)*DISTÂNCIA3[[#This Row],[KM PARA PAGAMENTO DOS FRETES]])</f>
        <v>#REF!</v>
      </c>
      <c r="J600" s="4">
        <f>DISTÂNCIA3[[#This Row],[Valor CTE]]/DISTÂNCIA3[[#This Row],[KM PARA PAGAMENTO DOS FRETES]]</f>
        <v>7.7472413793103447</v>
      </c>
      <c r="K600" s="6">
        <f t="shared" si="22"/>
        <v>327.2</v>
      </c>
      <c r="L600" s="6">
        <f>0.92*DISTÂNCIA3[[#This Row],[KM distancia]]*4.578</f>
        <v>122.14104</v>
      </c>
      <c r="M600" s="6">
        <f t="shared" si="23"/>
        <v>449.34</v>
      </c>
    </row>
    <row r="601" spans="1:13" hidden="1" x14ac:dyDescent="0.35">
      <c r="A601">
        <f>'DASE DADOS - DISTANCIA'!A601</f>
        <v>29426</v>
      </c>
      <c r="B601" t="str">
        <f>'DASE DADOS - DISTANCIA'!B601</f>
        <v>SILVERO RODRIGUES DA SILVA</v>
      </c>
      <c r="C601" t="str">
        <f>'DASE DADOS - DISTANCIA'!C601</f>
        <v xml:space="preserve"> A1</v>
      </c>
      <c r="D601" t="str">
        <f>'DASE DADOS - DISTANCIA'!E601</f>
        <v>CAPANEMA</v>
      </c>
      <c r="E601" t="str">
        <f>'DASE DADOS - DISTANCIA'!I601</f>
        <v>PLUSVAL</v>
      </c>
      <c r="F601" s="7">
        <v>111</v>
      </c>
      <c r="G601">
        <f>'DASE DADOS - DISTANCIA'!J601</f>
        <v>222</v>
      </c>
      <c r="H601" s="2">
        <v>420</v>
      </c>
      <c r="I601" s="2" t="e">
        <f>IF(#REF!&lt;17200,DISTÂNCIA3[[#This Row],[KM PARA PAGAMENTO DOS FRETES]]*4.74,((#REF!/17200)*4.74)*DISTÂNCIA3[[#This Row],[KM PARA PAGAMENTO DOS FRETES]])</f>
        <v>#REF!</v>
      </c>
      <c r="J601" s="4">
        <f>DISTÂNCIA3[[#This Row],[Valor CTE]]/DISTÂNCIA3[[#This Row],[KM PARA PAGAMENTO DOS FRETES]]</f>
        <v>5.2707207207207203</v>
      </c>
      <c r="K601" s="6">
        <f t="shared" si="22"/>
        <v>702.6</v>
      </c>
      <c r="L601" s="6">
        <f>0.92*DISTÂNCIA3[[#This Row],[KM distancia]]*4.578</f>
        <v>467.50536000000005</v>
      </c>
      <c r="M601" s="6">
        <f t="shared" si="23"/>
        <v>1170.0999999999999</v>
      </c>
    </row>
    <row r="602" spans="1:13" hidden="1" x14ac:dyDescent="0.35">
      <c r="A602">
        <f>'DASE DADOS - DISTANCIA'!A602</f>
        <v>0</v>
      </c>
      <c r="B602" t="str">
        <f>'DASE DADOS - DISTANCIA'!B602</f>
        <v>ROSEMIR PEROZZO</v>
      </c>
      <c r="C602" t="str">
        <f>'DASE DADOS - DISTANCIA'!C602</f>
        <v xml:space="preserve"> A1</v>
      </c>
      <c r="D602" t="str">
        <f>'DASE DADOS - DISTANCIA'!E602</f>
        <v>CASCAVEL</v>
      </c>
      <c r="E602" t="str">
        <f>'DASE DADOS - DISTANCIA'!I602</f>
        <v>PLUMA</v>
      </c>
      <c r="F602" s="7">
        <v>29</v>
      </c>
      <c r="G602">
        <f>'DASE DADOS - DISTANCIA'!J602</f>
        <v>58</v>
      </c>
      <c r="H602" s="2">
        <v>420</v>
      </c>
      <c r="I602" s="2" t="e">
        <f>IF(#REF!&lt;17200,DISTÂNCIA3[[#This Row],[KM PARA PAGAMENTO DOS FRETES]]*4.74,((#REF!/17200)*4.74)*DISTÂNCIA3[[#This Row],[KM PARA PAGAMENTO DOS FRETES]])</f>
        <v>#REF!</v>
      </c>
      <c r="J602" s="4">
        <f>DISTÂNCIA3[[#This Row],[Valor CTE]]/DISTÂNCIA3[[#This Row],[KM PARA PAGAMENTO DOS FRETES]]</f>
        <v>7.7472413793103447</v>
      </c>
      <c r="K602" s="6">
        <f t="shared" si="22"/>
        <v>327.2</v>
      </c>
      <c r="L602" s="6">
        <f>0.92*DISTÂNCIA3[[#This Row],[KM distancia]]*4.578</f>
        <v>122.14104</v>
      </c>
      <c r="M602" s="6">
        <f t="shared" si="23"/>
        <v>449.34</v>
      </c>
    </row>
    <row r="603" spans="1:13" hidden="1" x14ac:dyDescent="0.35">
      <c r="A603">
        <f>'DASE DADOS - DISTANCIA'!A603</f>
        <v>0</v>
      </c>
      <c r="B603" t="str">
        <f>'DASE DADOS - DISTANCIA'!B603</f>
        <v>SELIO BRIXNER</v>
      </c>
      <c r="C603" t="str">
        <f>'DASE DADOS - DISTANCIA'!C603</f>
        <v xml:space="preserve"> A2</v>
      </c>
      <c r="D603" t="str">
        <f>'DASE DADOS - DISTANCIA'!E603</f>
        <v>TOLEDO</v>
      </c>
      <c r="E603" t="str">
        <f>'DASE DADOS - DISTANCIA'!I603</f>
        <v>PLUMA</v>
      </c>
      <c r="F603" s="7">
        <v>61</v>
      </c>
      <c r="G603">
        <f>'DASE DADOS - DISTANCIA'!J603</f>
        <v>122</v>
      </c>
      <c r="H603" s="2">
        <v>420</v>
      </c>
      <c r="I603" s="2" t="e">
        <f>IF(#REF!&lt;17200,DISTÂNCIA3[[#This Row],[KM PARA PAGAMENTO DOS FRETES]]*4.74,((#REF!/17200)*4.74)*DISTÂNCIA3[[#This Row],[KM PARA PAGAMENTO DOS FRETES]])</f>
        <v>#REF!</v>
      </c>
      <c r="J603" s="4">
        <f>DISTÂNCIA3[[#This Row],[Valor CTE]]/DISTÂNCIA3[[#This Row],[KM PARA PAGAMENTO DOS FRETES]]</f>
        <v>5.988688524590164</v>
      </c>
      <c r="K603" s="6">
        <f t="shared" si="22"/>
        <v>473.7</v>
      </c>
      <c r="L603" s="6">
        <f>0.92*DISTÂNCIA3[[#This Row],[KM distancia]]*4.578</f>
        <v>256.91736000000003</v>
      </c>
      <c r="M603" s="6">
        <f t="shared" si="23"/>
        <v>730.62</v>
      </c>
    </row>
    <row r="604" spans="1:13" hidden="1" x14ac:dyDescent="0.35">
      <c r="A604">
        <f>'DASE DADOS - DISTANCIA'!A604</f>
        <v>0</v>
      </c>
      <c r="B604" t="str">
        <f>'DASE DADOS - DISTANCIA'!B604</f>
        <v>SERGIO JOSE BORCHERT</v>
      </c>
      <c r="C604" t="str">
        <f>'DASE DADOS - DISTANCIA'!C604</f>
        <v xml:space="preserve"> A1</v>
      </c>
      <c r="D604" t="str">
        <f>'DASE DADOS - DISTANCIA'!E604</f>
        <v>CASCAVEL</v>
      </c>
      <c r="E604" t="str">
        <f>'DASE DADOS - DISTANCIA'!I604</f>
        <v>PLUMA</v>
      </c>
      <c r="F604" s="7">
        <v>38</v>
      </c>
      <c r="G604">
        <f>'DASE DADOS - DISTANCIA'!J604</f>
        <v>76</v>
      </c>
      <c r="H604" s="2">
        <v>420</v>
      </c>
      <c r="I604" s="2" t="e">
        <f>IF(#REF!&lt;17200,DISTÂNCIA3[[#This Row],[KM PARA PAGAMENTO DOS FRETES]]*4.74,((#REF!/17200)*4.74)*DISTÂNCIA3[[#This Row],[KM PARA PAGAMENTO DOS FRETES]])</f>
        <v>#REF!</v>
      </c>
      <c r="J604" s="4">
        <f>DISTÂNCIA3[[#This Row],[Valor CTE]]/DISTÂNCIA3[[#This Row],[KM PARA PAGAMENTO DOS FRETES]]</f>
        <v>6.9532894736842108</v>
      </c>
      <c r="K604" s="6">
        <f t="shared" si="22"/>
        <v>368.4</v>
      </c>
      <c r="L604" s="6">
        <f>0.92*DISTÂNCIA3[[#This Row],[KM distancia]]*4.578</f>
        <v>160.04688000000002</v>
      </c>
      <c r="M604" s="6">
        <f t="shared" si="23"/>
        <v>528.45000000000005</v>
      </c>
    </row>
    <row r="605" spans="1:13" hidden="1" x14ac:dyDescent="0.35">
      <c r="A605">
        <f>'DASE DADOS - DISTANCIA'!A605</f>
        <v>5832357</v>
      </c>
      <c r="B605" t="str">
        <f>'DASE DADOS - DISTANCIA'!B605</f>
        <v>TATIANE KESIA KAMEI BESAGIO</v>
      </c>
      <c r="C605" t="str">
        <f>'DASE DADOS - DISTANCIA'!C605</f>
        <v xml:space="preserve"> A1</v>
      </c>
      <c r="D605" t="str">
        <f>'DASE DADOS - DISTANCIA'!E605</f>
        <v>CASCAVEL</v>
      </c>
      <c r="E605" t="str">
        <f>'DASE DADOS - DISTANCIA'!I605</f>
        <v>PLUMA</v>
      </c>
      <c r="F605" s="7">
        <v>22.5</v>
      </c>
      <c r="G605">
        <f>'DASE DADOS - DISTANCIA'!J605</f>
        <v>45</v>
      </c>
      <c r="H605" s="2">
        <v>420</v>
      </c>
      <c r="I605" s="2" t="e">
        <f>IF(#REF!&lt;17200,DISTÂNCIA3[[#This Row],[KM PARA PAGAMENTO DOS FRETES]]*4.74,((#REF!/17200)*4.74)*DISTÂNCIA3[[#This Row],[KM PARA PAGAMENTO DOS FRETES]])</f>
        <v>#REF!</v>
      </c>
      <c r="J605" s="4">
        <f>DISTÂNCIA3[[#This Row],[Valor CTE]]/DISTÂNCIA3[[#This Row],[KM PARA PAGAMENTO DOS FRETES]]</f>
        <v>8.7157777777777774</v>
      </c>
      <c r="K605" s="6">
        <f t="shared" si="22"/>
        <v>297.45</v>
      </c>
      <c r="L605" s="6">
        <f>0.92*DISTÂNCIA3[[#This Row],[KM distancia]]*4.578</f>
        <v>94.764600000000002</v>
      </c>
      <c r="M605" s="6">
        <f t="shared" si="23"/>
        <v>392.21</v>
      </c>
    </row>
    <row r="606" spans="1:13" hidden="1" x14ac:dyDescent="0.35">
      <c r="A606">
        <f>'DASE DADOS - DISTANCIA'!A606</f>
        <v>5832357</v>
      </c>
      <c r="B606" t="str">
        <f>'DASE DADOS - DISTANCIA'!B606</f>
        <v>TATIANE KESIA KAMEI BESAGIO</v>
      </c>
      <c r="C606" t="str">
        <f>'DASE DADOS - DISTANCIA'!C606</f>
        <v xml:space="preserve"> A2</v>
      </c>
      <c r="D606" t="str">
        <f>'DASE DADOS - DISTANCIA'!E606</f>
        <v>CASCAVEL</v>
      </c>
      <c r="E606" t="str">
        <f>'DASE DADOS - DISTANCIA'!I606</f>
        <v>PLUMA</v>
      </c>
      <c r="F606" s="7">
        <v>22.5</v>
      </c>
      <c r="G606">
        <f>'DASE DADOS - DISTANCIA'!J606</f>
        <v>45</v>
      </c>
      <c r="H606" s="2">
        <v>420</v>
      </c>
      <c r="I606" s="2" t="e">
        <f>IF(#REF!&lt;17200,DISTÂNCIA3[[#This Row],[KM PARA PAGAMENTO DOS FRETES]]*4.74,((#REF!/17200)*4.74)*DISTÂNCIA3[[#This Row],[KM PARA PAGAMENTO DOS FRETES]])</f>
        <v>#REF!</v>
      </c>
      <c r="J606" s="4">
        <f>DISTÂNCIA3[[#This Row],[Valor CTE]]/DISTÂNCIA3[[#This Row],[KM PARA PAGAMENTO DOS FRETES]]</f>
        <v>8.7157777777777774</v>
      </c>
      <c r="K606" s="6">
        <f t="shared" si="22"/>
        <v>297.45</v>
      </c>
      <c r="L606" s="6">
        <f>0.92*DISTÂNCIA3[[#This Row],[KM distancia]]*4.578</f>
        <v>94.764600000000002</v>
      </c>
      <c r="M606" s="6">
        <f t="shared" si="23"/>
        <v>392.21</v>
      </c>
    </row>
    <row r="607" spans="1:13" hidden="1" x14ac:dyDescent="0.35">
      <c r="A607">
        <f>'DASE DADOS - DISTANCIA'!A607</f>
        <v>5795346</v>
      </c>
      <c r="B607" t="str">
        <f>'DASE DADOS - DISTANCIA'!B607</f>
        <v>TELMO EDGAR ENGLERT</v>
      </c>
      <c r="C607" t="str">
        <f>'DASE DADOS - DISTANCIA'!C607</f>
        <v xml:space="preserve"> A1</v>
      </c>
      <c r="D607" t="str">
        <f>'DASE DADOS - DISTANCIA'!E607</f>
        <v>NOVA SANTA ROSA</v>
      </c>
      <c r="E607" t="str">
        <f>'DASE DADOS - DISTANCIA'!I607</f>
        <v>PLUMA</v>
      </c>
      <c r="F607" s="7">
        <v>109</v>
      </c>
      <c r="G607">
        <f>'DASE DADOS - DISTANCIA'!J607</f>
        <v>218</v>
      </c>
      <c r="H607" s="2">
        <v>420</v>
      </c>
      <c r="I607" s="2" t="e">
        <f>IF(#REF!&lt;17200,DISTÂNCIA3[[#This Row],[KM PARA PAGAMENTO DOS FRETES]]*4.74,((#REF!/17200)*4.74)*DISTÂNCIA3[[#This Row],[KM PARA PAGAMENTO DOS FRETES]])</f>
        <v>#REF!</v>
      </c>
      <c r="J607" s="4">
        <f>DISTÂNCIA3[[#This Row],[Valor CTE]]/DISTÂNCIA3[[#This Row],[KM PARA PAGAMENTO DOS FRETES]]</f>
        <v>5.2867889908256878</v>
      </c>
      <c r="K607" s="6">
        <f t="shared" si="22"/>
        <v>693.44</v>
      </c>
      <c r="L607" s="6">
        <f>0.92*DISTÂNCIA3[[#This Row],[KM distancia]]*4.578</f>
        <v>459.08184000000006</v>
      </c>
      <c r="M607" s="6">
        <f t="shared" si="23"/>
        <v>1152.52</v>
      </c>
    </row>
    <row r="608" spans="1:13" hidden="1" x14ac:dyDescent="0.35">
      <c r="A608">
        <f>'DASE DADOS - DISTANCIA'!A608</f>
        <v>5795346</v>
      </c>
      <c r="B608" t="str">
        <f>'DASE DADOS - DISTANCIA'!B608</f>
        <v>TELMO EDGAR ENGLERT</v>
      </c>
      <c r="C608" t="str">
        <f>'DASE DADOS - DISTANCIA'!C608</f>
        <v xml:space="preserve"> A2</v>
      </c>
      <c r="D608" t="str">
        <f>'DASE DADOS - DISTANCIA'!E608</f>
        <v>NOVA SANTA ROSA</v>
      </c>
      <c r="E608" t="str">
        <f>'DASE DADOS - DISTANCIA'!I608</f>
        <v>PLUMA</v>
      </c>
      <c r="F608" s="7">
        <v>109</v>
      </c>
      <c r="G608">
        <f>'DASE DADOS - DISTANCIA'!J608</f>
        <v>218</v>
      </c>
      <c r="H608" s="2">
        <v>420</v>
      </c>
      <c r="I608" s="2" t="e">
        <f>IF(#REF!&lt;17200,DISTÂNCIA3[[#This Row],[KM PARA PAGAMENTO DOS FRETES]]*4.74,((#REF!/17200)*4.74)*DISTÂNCIA3[[#This Row],[KM PARA PAGAMENTO DOS FRETES]])</f>
        <v>#REF!</v>
      </c>
      <c r="J608" s="4">
        <f>DISTÂNCIA3[[#This Row],[Valor CTE]]/DISTÂNCIA3[[#This Row],[KM PARA PAGAMENTO DOS FRETES]]</f>
        <v>5.2867889908256878</v>
      </c>
      <c r="K608" s="6">
        <f t="shared" si="22"/>
        <v>693.44</v>
      </c>
      <c r="L608" s="6">
        <f>0.92*DISTÂNCIA3[[#This Row],[KM distancia]]*4.578</f>
        <v>459.08184000000006</v>
      </c>
      <c r="M608" s="6">
        <f t="shared" si="23"/>
        <v>1152.52</v>
      </c>
    </row>
    <row r="609" spans="1:13" hidden="1" x14ac:dyDescent="0.35">
      <c r="A609">
        <f>'DASE DADOS - DISTANCIA'!A609</f>
        <v>709638</v>
      </c>
      <c r="B609" t="str">
        <f>'DASE DADOS - DISTANCIA'!B609</f>
        <v>SIBELLY FINOTELLO DA SILVA</v>
      </c>
      <c r="C609" t="str">
        <f>'DASE DADOS - DISTANCIA'!C609</f>
        <v>A1</v>
      </c>
      <c r="D609" t="str">
        <f>'DASE DADOS - DISTANCIA'!E609</f>
        <v>CAPANEMA</v>
      </c>
      <c r="E609" t="str">
        <f>'DASE DADOS - DISTANCIA'!I609</f>
        <v>PLUSVAL</v>
      </c>
      <c r="F609" s="7">
        <v>125</v>
      </c>
      <c r="G609">
        <f>'DASE DADOS - DISTANCIA'!J609</f>
        <v>250</v>
      </c>
      <c r="H609" s="2">
        <v>420</v>
      </c>
      <c r="I609" s="2" t="e">
        <f>IF(#REF!&lt;17200,DISTÂNCIA3[[#This Row],[KM PARA PAGAMENTO DOS FRETES]]*4.74,((#REF!/17200)*4.74)*DISTÂNCIA3[[#This Row],[KM PARA PAGAMENTO DOS FRETES]])</f>
        <v>#REF!</v>
      </c>
      <c r="J609" s="4">
        <f>DISTÂNCIA3[[#This Row],[Valor CTE]]/DISTÂNCIA3[[#This Row],[KM PARA PAGAMENTO DOS FRETES]]</f>
        <v>5.1726400000000003</v>
      </c>
      <c r="K609" s="6">
        <f t="shared" si="22"/>
        <v>766.69</v>
      </c>
      <c r="L609" s="6">
        <f>0.92*DISTÂNCIA3[[#This Row],[KM distancia]]*4.578</f>
        <v>526.47</v>
      </c>
      <c r="M609" s="6">
        <f t="shared" si="23"/>
        <v>1293.1600000000001</v>
      </c>
    </row>
    <row r="610" spans="1:13" hidden="1" x14ac:dyDescent="0.35">
      <c r="A610">
        <f>'DASE DADOS - DISTANCIA'!A610</f>
        <v>5795346</v>
      </c>
      <c r="B610" t="str">
        <f>'DASE DADOS - DISTANCIA'!B610</f>
        <v>TELMO EDGAR ENGLERT</v>
      </c>
      <c r="C610" t="str">
        <f>'DASE DADOS - DISTANCIA'!C610</f>
        <v xml:space="preserve"> A3</v>
      </c>
      <c r="D610" t="str">
        <f>'DASE DADOS - DISTANCIA'!E610</f>
        <v>NOVA SANTA ROSA</v>
      </c>
      <c r="E610" t="str">
        <f>'DASE DADOS - DISTANCIA'!I610</f>
        <v>PLUMA</v>
      </c>
      <c r="F610" s="7">
        <v>109</v>
      </c>
      <c r="G610">
        <f>'DASE DADOS - DISTANCIA'!J610</f>
        <v>218</v>
      </c>
      <c r="H610" s="2">
        <v>420</v>
      </c>
      <c r="I610" s="2" t="e">
        <f>IF(#REF!&lt;17200,DISTÂNCIA3[[#This Row],[KM PARA PAGAMENTO DOS FRETES]]*4.74,((#REF!/17200)*4.74)*DISTÂNCIA3[[#This Row],[KM PARA PAGAMENTO DOS FRETES]])</f>
        <v>#REF!</v>
      </c>
      <c r="J610" s="4">
        <f>DISTÂNCIA3[[#This Row],[Valor CTE]]/DISTÂNCIA3[[#This Row],[KM PARA PAGAMENTO DOS FRETES]]</f>
        <v>5.2867889908256878</v>
      </c>
      <c r="K610" s="6">
        <f t="shared" si="22"/>
        <v>693.44</v>
      </c>
      <c r="L610" s="6">
        <f>0.92*DISTÂNCIA3[[#This Row],[KM distancia]]*4.578</f>
        <v>459.08184000000006</v>
      </c>
      <c r="M610" s="6">
        <f t="shared" si="23"/>
        <v>1152.52</v>
      </c>
    </row>
    <row r="611" spans="1:13" hidden="1" x14ac:dyDescent="0.35">
      <c r="A611">
        <f>'DASE DADOS - DISTANCIA'!A611</f>
        <v>6044182</v>
      </c>
      <c r="B611" t="str">
        <f>'DASE DADOS - DISTANCIA'!B611</f>
        <v>TIAGO DAPIEVE</v>
      </c>
      <c r="C611" t="str">
        <f>'DASE DADOS - DISTANCIA'!C611</f>
        <v xml:space="preserve"> A3</v>
      </c>
      <c r="D611" t="str">
        <f>'DASE DADOS - DISTANCIA'!E611</f>
        <v>VERA CRUZ DO OESTE</v>
      </c>
      <c r="E611" t="str">
        <f>'DASE DADOS - DISTANCIA'!I611</f>
        <v>PLUMA</v>
      </c>
      <c r="F611" s="7">
        <v>53</v>
      </c>
      <c r="G611">
        <f>'DASE DADOS - DISTANCIA'!J611</f>
        <v>106</v>
      </c>
      <c r="H611" s="2">
        <v>420</v>
      </c>
      <c r="I611" s="2" t="e">
        <f>IF(#REF!&lt;17200,DISTÂNCIA3[[#This Row],[KM PARA PAGAMENTO DOS FRETES]]*4.74,((#REF!/17200)*4.74)*DISTÂNCIA3[[#This Row],[KM PARA PAGAMENTO DOS FRETES]])</f>
        <v>#REF!</v>
      </c>
      <c r="J611" s="4">
        <f>DISTÂNCIA3[[#This Row],[Valor CTE]]/DISTÂNCIA3[[#This Row],[KM PARA PAGAMENTO DOS FRETES]]</f>
        <v>6.2292452830188676</v>
      </c>
      <c r="K611" s="6">
        <f t="shared" si="22"/>
        <v>437.07</v>
      </c>
      <c r="L611" s="6">
        <f>0.92*DISTÂNCIA3[[#This Row],[KM distancia]]*4.578</f>
        <v>223.22328000000005</v>
      </c>
      <c r="M611" s="6">
        <f t="shared" si="23"/>
        <v>660.3</v>
      </c>
    </row>
    <row r="612" spans="1:13" hidden="1" x14ac:dyDescent="0.35">
      <c r="A612">
        <f>'DASE DADOS - DISTANCIA'!A612</f>
        <v>6044182</v>
      </c>
      <c r="B612" t="str">
        <f>'DASE DADOS - DISTANCIA'!B612</f>
        <v>TIAGO DAPIEVE</v>
      </c>
      <c r="C612" t="str">
        <f>'DASE DADOS - DISTANCIA'!C612</f>
        <v xml:space="preserve"> A2</v>
      </c>
      <c r="D612" t="str">
        <f>'DASE DADOS - DISTANCIA'!E612</f>
        <v>VERA CRUZ DO OESTE</v>
      </c>
      <c r="E612" t="str">
        <f>'DASE DADOS - DISTANCIA'!I612</f>
        <v>PLUMA</v>
      </c>
      <c r="F612" s="7">
        <v>53</v>
      </c>
      <c r="G612">
        <f>'DASE DADOS - DISTANCIA'!J612</f>
        <v>106</v>
      </c>
      <c r="H612" s="2">
        <v>420</v>
      </c>
      <c r="I612" s="2" t="e">
        <f>IF(#REF!&lt;17200,DISTÂNCIA3[[#This Row],[KM PARA PAGAMENTO DOS FRETES]]*4.74,((#REF!/17200)*4.74)*DISTÂNCIA3[[#This Row],[KM PARA PAGAMENTO DOS FRETES]])</f>
        <v>#REF!</v>
      </c>
      <c r="J612" s="4">
        <f>DISTÂNCIA3[[#This Row],[Valor CTE]]/DISTÂNCIA3[[#This Row],[KM PARA PAGAMENTO DOS FRETES]]</f>
        <v>6.2292452830188676</v>
      </c>
      <c r="K612" s="6">
        <f t="shared" si="22"/>
        <v>437.07</v>
      </c>
      <c r="L612" s="6">
        <f>0.92*DISTÂNCIA3[[#This Row],[KM distancia]]*4.578</f>
        <v>223.22328000000005</v>
      </c>
      <c r="M612" s="6">
        <f t="shared" si="23"/>
        <v>660.3</v>
      </c>
    </row>
    <row r="613" spans="1:13" hidden="1" x14ac:dyDescent="0.35">
      <c r="A613">
        <f>'DASE DADOS - DISTANCIA'!A613</f>
        <v>6044182</v>
      </c>
      <c r="B613" t="str">
        <f>'DASE DADOS - DISTANCIA'!B613</f>
        <v>TIAGO DAPIEVE</v>
      </c>
      <c r="C613" t="str">
        <f>'DASE DADOS - DISTANCIA'!C613</f>
        <v xml:space="preserve"> A1</v>
      </c>
      <c r="D613" t="str">
        <f>'DASE DADOS - DISTANCIA'!E613</f>
        <v>VERA CRUZ DO OESTE</v>
      </c>
      <c r="E613" t="str">
        <f>'DASE DADOS - DISTANCIA'!I613</f>
        <v>PLUMA</v>
      </c>
      <c r="F613" s="7">
        <v>53</v>
      </c>
      <c r="G613">
        <f>'DASE DADOS - DISTANCIA'!J613</f>
        <v>106</v>
      </c>
      <c r="H613" s="2">
        <v>420</v>
      </c>
      <c r="I613" s="2" t="e">
        <f>IF(#REF!&lt;17200,DISTÂNCIA3[[#This Row],[KM PARA PAGAMENTO DOS FRETES]]*4.74,((#REF!/17200)*4.74)*DISTÂNCIA3[[#This Row],[KM PARA PAGAMENTO DOS FRETES]])</f>
        <v>#REF!</v>
      </c>
      <c r="J613" s="4">
        <f>DISTÂNCIA3[[#This Row],[Valor CTE]]/DISTÂNCIA3[[#This Row],[KM PARA PAGAMENTO DOS FRETES]]</f>
        <v>6.2292452830188676</v>
      </c>
      <c r="K613" s="6">
        <f t="shared" si="22"/>
        <v>437.07</v>
      </c>
      <c r="L613" s="6">
        <f>0.92*DISTÂNCIA3[[#This Row],[KM distancia]]*4.578</f>
        <v>223.22328000000005</v>
      </c>
      <c r="M613" s="6">
        <f t="shared" si="23"/>
        <v>660.3</v>
      </c>
    </row>
    <row r="614" spans="1:13" hidden="1" x14ac:dyDescent="0.35">
      <c r="A614">
        <f>'DASE DADOS - DISTANCIA'!A614</f>
        <v>5855276</v>
      </c>
      <c r="B614" t="str">
        <f>'DASE DADOS - DISTANCIA'!B614</f>
        <v>TIAGO LUIS ZERETZKI</v>
      </c>
      <c r="C614" t="str">
        <f>'DASE DADOS - DISTANCIA'!C614</f>
        <v xml:space="preserve"> A2</v>
      </c>
      <c r="D614" t="str">
        <f>'DASE DADOS - DISTANCIA'!E614</f>
        <v>NOVA SANTA ROSA</v>
      </c>
      <c r="E614" t="str">
        <f>'DASE DADOS - DISTANCIA'!I614</f>
        <v>PLUMA</v>
      </c>
      <c r="F614" s="7">
        <v>92</v>
      </c>
      <c r="G614">
        <f>'DASE DADOS - DISTANCIA'!J614</f>
        <v>184</v>
      </c>
      <c r="H614" s="2">
        <v>420</v>
      </c>
      <c r="I614" s="2" t="e">
        <f>IF(#REF!&lt;17200,DISTÂNCIA3[[#This Row],[KM PARA PAGAMENTO DOS FRETES]]*4.74,((#REF!/17200)*4.74)*DISTÂNCIA3[[#This Row],[KM PARA PAGAMENTO DOS FRETES]])</f>
        <v>#REF!</v>
      </c>
      <c r="J614" s="4">
        <f>DISTÂNCIA3[[#This Row],[Valor CTE]]/DISTÂNCIA3[[#This Row],[KM PARA PAGAMENTO DOS FRETES]]</f>
        <v>5.4516304347826088</v>
      </c>
      <c r="K614" s="6">
        <f t="shared" si="22"/>
        <v>615.62</v>
      </c>
      <c r="L614" s="6">
        <f>0.92*DISTÂNCIA3[[#This Row],[KM distancia]]*4.578</f>
        <v>387.48192</v>
      </c>
      <c r="M614" s="6">
        <f t="shared" si="23"/>
        <v>1003.1</v>
      </c>
    </row>
    <row r="615" spans="1:13" hidden="1" x14ac:dyDescent="0.35">
      <c r="A615">
        <f>'DASE DADOS - DISTANCIA'!A615</f>
        <v>5855276</v>
      </c>
      <c r="B615" t="str">
        <f>'DASE DADOS - DISTANCIA'!B615</f>
        <v>TIAGO LUIS ZERETZKI</v>
      </c>
      <c r="C615" t="str">
        <f>'DASE DADOS - DISTANCIA'!C615</f>
        <v xml:space="preserve"> A1</v>
      </c>
      <c r="D615" t="str">
        <f>'DASE DADOS - DISTANCIA'!E615</f>
        <v>NOVA SANTA ROSA</v>
      </c>
      <c r="E615" t="str">
        <f>'DASE DADOS - DISTANCIA'!I615</f>
        <v>PLUMA</v>
      </c>
      <c r="F615" s="7">
        <v>92</v>
      </c>
      <c r="G615">
        <f>'DASE DADOS - DISTANCIA'!J615</f>
        <v>184</v>
      </c>
      <c r="H615" s="2">
        <v>420</v>
      </c>
      <c r="I615" s="2" t="e">
        <f>IF(#REF!&lt;17200,DISTÂNCIA3[[#This Row],[KM PARA PAGAMENTO DOS FRETES]]*4.74,((#REF!/17200)*4.74)*DISTÂNCIA3[[#This Row],[KM PARA PAGAMENTO DOS FRETES]])</f>
        <v>#REF!</v>
      </c>
      <c r="J615" s="4">
        <f>DISTÂNCIA3[[#This Row],[Valor CTE]]/DISTÂNCIA3[[#This Row],[KM PARA PAGAMENTO DOS FRETES]]</f>
        <v>5.4516304347826088</v>
      </c>
      <c r="K615" s="6">
        <f t="shared" si="22"/>
        <v>615.62</v>
      </c>
      <c r="L615" s="6">
        <f>0.92*DISTÂNCIA3[[#This Row],[KM distancia]]*4.578</f>
        <v>387.48192</v>
      </c>
      <c r="M615" s="6">
        <f t="shared" si="23"/>
        <v>1003.1</v>
      </c>
    </row>
    <row r="616" spans="1:13" hidden="1" x14ac:dyDescent="0.35">
      <c r="A616">
        <f>'DASE DADOS - DISTANCIA'!A616</f>
        <v>3081966</v>
      </c>
      <c r="B616" t="str">
        <f>'DASE DADOS - DISTANCIA'!B616</f>
        <v>VALDECIR ANDRE KACZMAREK</v>
      </c>
      <c r="C616" t="str">
        <f>'DASE DADOS - DISTANCIA'!C616</f>
        <v xml:space="preserve"> A1</v>
      </c>
      <c r="D616" t="str">
        <f>'DASE DADOS - DISTANCIA'!E616</f>
        <v>CASCAVEL</v>
      </c>
      <c r="E616" t="str">
        <f>'DASE DADOS - DISTANCIA'!I616</f>
        <v>PLUMA</v>
      </c>
      <c r="F616" s="7">
        <v>28</v>
      </c>
      <c r="G616">
        <f>'DASE DADOS - DISTANCIA'!J616</f>
        <v>56</v>
      </c>
      <c r="H616" s="2">
        <v>420</v>
      </c>
      <c r="I616" s="2" t="e">
        <f>IF(#REF!&lt;17200,DISTÂNCIA3[[#This Row],[KM PARA PAGAMENTO DOS FRETES]]*4.74,((#REF!/17200)*4.74)*DISTÂNCIA3[[#This Row],[KM PARA PAGAMENTO DOS FRETES]])</f>
        <v>#REF!</v>
      </c>
      <c r="J616" s="4">
        <f>DISTÂNCIA3[[#This Row],[Valor CTE]]/DISTÂNCIA3[[#This Row],[KM PARA PAGAMENTO DOS FRETES]]</f>
        <v>7.8669642857142863</v>
      </c>
      <c r="K616" s="6">
        <f t="shared" si="22"/>
        <v>322.62</v>
      </c>
      <c r="L616" s="6">
        <f>0.92*DISTÂNCIA3[[#This Row],[KM distancia]]*4.578</f>
        <v>117.92928000000002</v>
      </c>
      <c r="M616" s="6">
        <f t="shared" si="23"/>
        <v>440.55</v>
      </c>
    </row>
    <row r="617" spans="1:13" hidden="1" x14ac:dyDescent="0.35">
      <c r="A617">
        <f>'DASE DADOS - DISTANCIA'!A617</f>
        <v>3081966</v>
      </c>
      <c r="B617" t="str">
        <f>'DASE DADOS - DISTANCIA'!B617</f>
        <v>VALDECIR ANDRE KACZMAREK</v>
      </c>
      <c r="C617" t="str">
        <f>'DASE DADOS - DISTANCIA'!C617</f>
        <v xml:space="preserve"> A2</v>
      </c>
      <c r="D617" t="str">
        <f>'DASE DADOS - DISTANCIA'!E617</f>
        <v>CASCAVEL</v>
      </c>
      <c r="E617" t="str">
        <f>'DASE DADOS - DISTANCIA'!I617</f>
        <v>PLUMA</v>
      </c>
      <c r="F617" s="7">
        <v>28</v>
      </c>
      <c r="G617">
        <f>'DASE DADOS - DISTANCIA'!J617</f>
        <v>56</v>
      </c>
      <c r="H617" s="2">
        <v>420</v>
      </c>
      <c r="I617" s="2" t="e">
        <f>IF(#REF!&lt;17200,DISTÂNCIA3[[#This Row],[KM PARA PAGAMENTO DOS FRETES]]*4.74,((#REF!/17200)*4.74)*DISTÂNCIA3[[#This Row],[KM PARA PAGAMENTO DOS FRETES]])</f>
        <v>#REF!</v>
      </c>
      <c r="J617" s="4">
        <f>DISTÂNCIA3[[#This Row],[Valor CTE]]/DISTÂNCIA3[[#This Row],[KM PARA PAGAMENTO DOS FRETES]]</f>
        <v>7.8669642857142863</v>
      </c>
      <c r="K617" s="6">
        <f t="shared" si="22"/>
        <v>322.62</v>
      </c>
      <c r="L617" s="6">
        <f>0.92*DISTÂNCIA3[[#This Row],[KM distancia]]*4.578</f>
        <v>117.92928000000002</v>
      </c>
      <c r="M617" s="6">
        <f t="shared" si="23"/>
        <v>440.55</v>
      </c>
    </row>
    <row r="618" spans="1:13" hidden="1" x14ac:dyDescent="0.35">
      <c r="A618">
        <f>'DASE DADOS - DISTANCIA'!A618</f>
        <v>0</v>
      </c>
      <c r="B618" t="str">
        <f>'DASE DADOS - DISTANCIA'!B618</f>
        <v>VALDECIR LUIZ MANFROI</v>
      </c>
      <c r="C618" t="str">
        <f>'DASE DADOS - DISTANCIA'!C618</f>
        <v xml:space="preserve"> A3</v>
      </c>
      <c r="D618" t="str">
        <f>'DASE DADOS - DISTANCIA'!E618</f>
        <v>TOLEDO</v>
      </c>
      <c r="E618" t="str">
        <f>'DASE DADOS - DISTANCIA'!I618</f>
        <v>PLUMA</v>
      </c>
      <c r="F618" s="7">
        <v>58.5</v>
      </c>
      <c r="G618">
        <f>'DASE DADOS - DISTANCIA'!J618</f>
        <v>117</v>
      </c>
      <c r="H618" s="2">
        <v>420</v>
      </c>
      <c r="I618" s="2" t="e">
        <f>IF(#REF!&lt;17200,DISTÂNCIA3[[#This Row],[KM PARA PAGAMENTO DOS FRETES]]*4.74,((#REF!/17200)*4.74)*DISTÂNCIA3[[#This Row],[KM PARA PAGAMENTO DOS FRETES]])</f>
        <v>#REF!</v>
      </c>
      <c r="J618" s="4">
        <f>DISTÂNCIA3[[#This Row],[Valor CTE]]/DISTÂNCIA3[[#This Row],[KM PARA PAGAMENTO DOS FRETES]]</f>
        <v>6.0567521367521362</v>
      </c>
      <c r="K618" s="6">
        <f t="shared" si="22"/>
        <v>462.25</v>
      </c>
      <c r="L618" s="6">
        <f>0.92*DISTÂNCIA3[[#This Row],[KM distancia]]*4.578</f>
        <v>246.38796000000002</v>
      </c>
      <c r="M618" s="6">
        <f t="shared" si="23"/>
        <v>708.64</v>
      </c>
    </row>
    <row r="619" spans="1:13" hidden="1" x14ac:dyDescent="0.35">
      <c r="A619">
        <f>'DASE DADOS - DISTANCIA'!A619</f>
        <v>0</v>
      </c>
      <c r="B619" t="str">
        <f>'DASE DADOS - DISTANCIA'!B619</f>
        <v>VALDECIR LUIZ MANFROI</v>
      </c>
      <c r="C619" t="str">
        <f>'DASE DADOS - DISTANCIA'!C619</f>
        <v xml:space="preserve"> A2</v>
      </c>
      <c r="D619" t="str">
        <f>'DASE DADOS - DISTANCIA'!E619</f>
        <v>TOLEDO</v>
      </c>
      <c r="E619" t="str">
        <f>'DASE DADOS - DISTANCIA'!I619</f>
        <v>PLUMA</v>
      </c>
      <c r="F619" s="7">
        <v>58.5</v>
      </c>
      <c r="G619">
        <f>'DASE DADOS - DISTANCIA'!J619</f>
        <v>117</v>
      </c>
      <c r="H619" s="2">
        <v>420</v>
      </c>
      <c r="I619" s="2" t="e">
        <f>IF(#REF!&lt;17200,DISTÂNCIA3[[#This Row],[KM PARA PAGAMENTO DOS FRETES]]*4.74,((#REF!/17200)*4.74)*DISTÂNCIA3[[#This Row],[KM PARA PAGAMENTO DOS FRETES]])</f>
        <v>#REF!</v>
      </c>
      <c r="J619" s="4">
        <f>DISTÂNCIA3[[#This Row],[Valor CTE]]/DISTÂNCIA3[[#This Row],[KM PARA PAGAMENTO DOS FRETES]]</f>
        <v>6.0567521367521362</v>
      </c>
      <c r="K619" s="6">
        <f t="shared" si="22"/>
        <v>462.25</v>
      </c>
      <c r="L619" s="6">
        <f>0.92*DISTÂNCIA3[[#This Row],[KM distancia]]*4.578</f>
        <v>246.38796000000002</v>
      </c>
      <c r="M619" s="6">
        <f t="shared" si="23"/>
        <v>708.64</v>
      </c>
    </row>
    <row r="620" spans="1:13" hidden="1" x14ac:dyDescent="0.35">
      <c r="A620">
        <f>'DASE DADOS - DISTANCIA'!A620</f>
        <v>0</v>
      </c>
      <c r="B620" t="str">
        <f>'DASE DADOS - DISTANCIA'!B620</f>
        <v>VALDECIR LUIZ MANFROI</v>
      </c>
      <c r="C620" t="str">
        <f>'DASE DADOS - DISTANCIA'!C620</f>
        <v xml:space="preserve"> A1</v>
      </c>
      <c r="D620" t="str">
        <f>'DASE DADOS - DISTANCIA'!E620</f>
        <v>TOLEDO</v>
      </c>
      <c r="E620" t="str">
        <f>'DASE DADOS - DISTANCIA'!I620</f>
        <v>PLUMA</v>
      </c>
      <c r="F620" s="7">
        <v>58.5</v>
      </c>
      <c r="G620">
        <f>'DASE DADOS - DISTANCIA'!J620</f>
        <v>117</v>
      </c>
      <c r="H620" s="2">
        <v>420</v>
      </c>
      <c r="I620" s="2" t="e">
        <f>IF(#REF!&lt;17200,DISTÂNCIA3[[#This Row],[KM PARA PAGAMENTO DOS FRETES]]*4.74,((#REF!/17200)*4.74)*DISTÂNCIA3[[#This Row],[KM PARA PAGAMENTO DOS FRETES]])</f>
        <v>#REF!</v>
      </c>
      <c r="J620" s="4">
        <f>DISTÂNCIA3[[#This Row],[Valor CTE]]/DISTÂNCIA3[[#This Row],[KM PARA PAGAMENTO DOS FRETES]]</f>
        <v>6.0567521367521362</v>
      </c>
      <c r="K620" s="6">
        <f t="shared" si="22"/>
        <v>462.25</v>
      </c>
      <c r="L620" s="6">
        <f>0.92*DISTÂNCIA3[[#This Row],[KM distancia]]*4.578</f>
        <v>246.38796000000002</v>
      </c>
      <c r="M620" s="6">
        <f t="shared" si="23"/>
        <v>708.64</v>
      </c>
    </row>
    <row r="621" spans="1:13" hidden="1" x14ac:dyDescent="0.35">
      <c r="A621">
        <f>'DASE DADOS - DISTANCIA'!A621</f>
        <v>6199364</v>
      </c>
      <c r="B621" t="str">
        <f>'DASE DADOS - DISTANCIA'!B621</f>
        <v>VALDEMIR CHAGAS DE MATOS</v>
      </c>
      <c r="C621" t="str">
        <f>'DASE DADOS - DISTANCIA'!C621</f>
        <v xml:space="preserve"> A3</v>
      </c>
      <c r="D621" t="str">
        <f>'DASE DADOS - DISTANCIA'!E621</f>
        <v>MARECHAL CANDIDO RONDON</v>
      </c>
      <c r="E621" t="str">
        <f>'DASE DADOS - DISTANCIA'!I621</f>
        <v>PLUMA</v>
      </c>
      <c r="F621" s="7">
        <v>110</v>
      </c>
      <c r="G621">
        <f>'DASE DADOS - DISTANCIA'!J621</f>
        <v>220</v>
      </c>
      <c r="H621" s="2">
        <v>420</v>
      </c>
      <c r="I621" s="2" t="e">
        <f>IF(#REF!&lt;17200,DISTÂNCIA3[[#This Row],[KM PARA PAGAMENTO DOS FRETES]]*4.74,((#REF!/17200)*4.74)*DISTÂNCIA3[[#This Row],[KM PARA PAGAMENTO DOS FRETES]])</f>
        <v>#REF!</v>
      </c>
      <c r="J621" s="4">
        <f>DISTÂNCIA3[[#This Row],[Valor CTE]]/DISTÂNCIA3[[#This Row],[KM PARA PAGAMENTO DOS FRETES]]</f>
        <v>5.278681818181818</v>
      </c>
      <c r="K621" s="6">
        <f t="shared" si="22"/>
        <v>698.02</v>
      </c>
      <c r="L621" s="6">
        <f>0.92*DISTÂNCIA3[[#This Row],[KM distancia]]*4.578</f>
        <v>463.29360000000003</v>
      </c>
      <c r="M621" s="6">
        <f t="shared" si="23"/>
        <v>1161.31</v>
      </c>
    </row>
    <row r="622" spans="1:13" hidden="1" x14ac:dyDescent="0.35">
      <c r="A622">
        <f>'DASE DADOS - DISTANCIA'!A622</f>
        <v>6199364</v>
      </c>
      <c r="B622" t="str">
        <f>'DASE DADOS - DISTANCIA'!B622</f>
        <v>VALDEMIR CHAGAS DE MATOS</v>
      </c>
      <c r="C622" t="str">
        <f>'DASE DADOS - DISTANCIA'!C622</f>
        <v xml:space="preserve"> A2</v>
      </c>
      <c r="D622" t="str">
        <f>'DASE DADOS - DISTANCIA'!E622</f>
        <v>MARECHAL CANDIDO RONDON</v>
      </c>
      <c r="E622" t="str">
        <f>'DASE DADOS - DISTANCIA'!I622</f>
        <v>PLUMA</v>
      </c>
      <c r="F622" s="7">
        <v>110</v>
      </c>
      <c r="G622">
        <f>'DASE DADOS - DISTANCIA'!J622</f>
        <v>220</v>
      </c>
      <c r="H622" s="2">
        <v>420</v>
      </c>
      <c r="I622" s="2" t="e">
        <f>IF(#REF!&lt;17200,DISTÂNCIA3[[#This Row],[KM PARA PAGAMENTO DOS FRETES]]*4.74,((#REF!/17200)*4.74)*DISTÂNCIA3[[#This Row],[KM PARA PAGAMENTO DOS FRETES]])</f>
        <v>#REF!</v>
      </c>
      <c r="J622" s="4">
        <f>DISTÂNCIA3[[#This Row],[Valor CTE]]/DISTÂNCIA3[[#This Row],[KM PARA PAGAMENTO DOS FRETES]]</f>
        <v>5.278681818181818</v>
      </c>
      <c r="K622" s="6">
        <f t="shared" si="22"/>
        <v>698.02</v>
      </c>
      <c r="L622" s="6">
        <f>0.92*DISTÂNCIA3[[#This Row],[KM distancia]]*4.578</f>
        <v>463.29360000000003</v>
      </c>
      <c r="M622" s="6">
        <f t="shared" si="23"/>
        <v>1161.31</v>
      </c>
    </row>
    <row r="623" spans="1:13" hidden="1" x14ac:dyDescent="0.35">
      <c r="A623">
        <f>'DASE DADOS - DISTANCIA'!A623</f>
        <v>6199364</v>
      </c>
      <c r="B623" t="str">
        <f>'DASE DADOS - DISTANCIA'!B623</f>
        <v>VALDEMIR CHAGAS DE MATOS</v>
      </c>
      <c r="C623" t="str">
        <f>'DASE DADOS - DISTANCIA'!C623</f>
        <v xml:space="preserve"> A1</v>
      </c>
      <c r="D623" t="str">
        <f>'DASE DADOS - DISTANCIA'!E623</f>
        <v>MARECHAL CANDIDO RONDON</v>
      </c>
      <c r="E623" t="str">
        <f>'DASE DADOS - DISTANCIA'!I623</f>
        <v>PLUMA</v>
      </c>
      <c r="F623" s="7">
        <v>110</v>
      </c>
      <c r="G623">
        <f>'DASE DADOS - DISTANCIA'!J623</f>
        <v>220</v>
      </c>
      <c r="H623" s="2">
        <v>420</v>
      </c>
      <c r="I623" s="2" t="e">
        <f>IF(#REF!&lt;17200,DISTÂNCIA3[[#This Row],[KM PARA PAGAMENTO DOS FRETES]]*4.74,((#REF!/17200)*4.74)*DISTÂNCIA3[[#This Row],[KM PARA PAGAMENTO DOS FRETES]])</f>
        <v>#REF!</v>
      </c>
      <c r="J623" s="4">
        <f>DISTÂNCIA3[[#This Row],[Valor CTE]]/DISTÂNCIA3[[#This Row],[KM PARA PAGAMENTO DOS FRETES]]</f>
        <v>5.278681818181818</v>
      </c>
      <c r="K623" s="6">
        <f t="shared" si="22"/>
        <v>698.02</v>
      </c>
      <c r="L623" s="6">
        <f>0.92*DISTÂNCIA3[[#This Row],[KM distancia]]*4.578</f>
        <v>463.29360000000003</v>
      </c>
      <c r="M623" s="6">
        <f t="shared" si="23"/>
        <v>1161.31</v>
      </c>
    </row>
    <row r="624" spans="1:13" hidden="1" x14ac:dyDescent="0.35">
      <c r="A624">
        <f>'DASE DADOS - DISTANCIA'!A624</f>
        <v>6199364</v>
      </c>
      <c r="B624" t="str">
        <f>'DASE DADOS - DISTANCIA'!B624</f>
        <v>VALDEMIR CHAGAS DE MATOS</v>
      </c>
      <c r="C624" t="str">
        <f>'DASE DADOS - DISTANCIA'!C624</f>
        <v xml:space="preserve"> A4</v>
      </c>
      <c r="D624" t="str">
        <f>'DASE DADOS - DISTANCIA'!E624</f>
        <v>MARECHAL CANDIDO RONDON</v>
      </c>
      <c r="E624" t="str">
        <f>'DASE DADOS - DISTANCIA'!I624</f>
        <v>PLUMA</v>
      </c>
      <c r="F624" s="7">
        <v>110</v>
      </c>
      <c r="G624">
        <f>'DASE DADOS - DISTANCIA'!J624</f>
        <v>220</v>
      </c>
      <c r="H624" s="2">
        <v>420</v>
      </c>
      <c r="I624" s="2" t="e">
        <f>IF(#REF!&lt;17200,DISTÂNCIA3[[#This Row],[KM PARA PAGAMENTO DOS FRETES]]*4.74,((#REF!/17200)*4.74)*DISTÂNCIA3[[#This Row],[KM PARA PAGAMENTO DOS FRETES]])</f>
        <v>#REF!</v>
      </c>
      <c r="J624" s="4">
        <f>DISTÂNCIA3[[#This Row],[Valor CTE]]/DISTÂNCIA3[[#This Row],[KM PARA PAGAMENTO DOS FRETES]]</f>
        <v>5.278681818181818</v>
      </c>
      <c r="K624" s="6">
        <f t="shared" si="22"/>
        <v>698.02</v>
      </c>
      <c r="L624" s="6">
        <f>0.92*DISTÂNCIA3[[#This Row],[KM distancia]]*4.578</f>
        <v>463.29360000000003</v>
      </c>
      <c r="M624" s="6">
        <f t="shared" si="23"/>
        <v>1161.31</v>
      </c>
    </row>
    <row r="625" spans="1:13" hidden="1" x14ac:dyDescent="0.35">
      <c r="A625">
        <f>'DASE DADOS - DISTANCIA'!A625</f>
        <v>5364086</v>
      </c>
      <c r="B625" t="str">
        <f>'DASE DADOS - DISTANCIA'!B625</f>
        <v>VALDEMIR POLIZELLI</v>
      </c>
      <c r="C625" t="str">
        <f>'DASE DADOS - DISTANCIA'!C625</f>
        <v xml:space="preserve"> A1</v>
      </c>
      <c r="D625" t="str">
        <f>'DASE DADOS - DISTANCIA'!E625</f>
        <v>TOLEDO</v>
      </c>
      <c r="E625" t="str">
        <f>'DASE DADOS - DISTANCIA'!I625</f>
        <v>PLUMA</v>
      </c>
      <c r="F625" s="7">
        <v>60</v>
      </c>
      <c r="G625">
        <f>'DASE DADOS - DISTANCIA'!J625</f>
        <v>120</v>
      </c>
      <c r="H625" s="2">
        <v>420</v>
      </c>
      <c r="I625" s="2" t="e">
        <f>IF(#REF!&lt;17200,DISTÂNCIA3[[#This Row],[KM PARA PAGAMENTO DOS FRETES]]*4.74,((#REF!/17200)*4.74)*DISTÂNCIA3[[#This Row],[KM PARA PAGAMENTO DOS FRETES]])</f>
        <v>#REF!</v>
      </c>
      <c r="J625" s="4">
        <f>DISTÂNCIA3[[#This Row],[Valor CTE]]/DISTÂNCIA3[[#This Row],[KM PARA PAGAMENTO DOS FRETES]]</f>
        <v>6.01525</v>
      </c>
      <c r="K625" s="6">
        <f t="shared" si="22"/>
        <v>469.12</v>
      </c>
      <c r="L625" s="6">
        <f>0.92*DISTÂNCIA3[[#This Row],[KM distancia]]*4.578</f>
        <v>252.70560000000003</v>
      </c>
      <c r="M625" s="6">
        <f t="shared" si="23"/>
        <v>721.83</v>
      </c>
    </row>
    <row r="626" spans="1:13" hidden="1" x14ac:dyDescent="0.35">
      <c r="A626">
        <f>'DASE DADOS - DISTANCIA'!A626</f>
        <v>0</v>
      </c>
      <c r="B626" t="str">
        <f>'DASE DADOS - DISTANCIA'!B626</f>
        <v>VALDIR LANGE</v>
      </c>
      <c r="C626" t="str">
        <f>'DASE DADOS - DISTANCIA'!C626</f>
        <v xml:space="preserve"> A1</v>
      </c>
      <c r="D626" t="str">
        <f>'DASE DADOS - DISTANCIA'!E626</f>
        <v>TOLEDO</v>
      </c>
      <c r="E626" t="str">
        <f>'DASE DADOS - DISTANCIA'!I626</f>
        <v>PLUMA</v>
      </c>
      <c r="F626" s="7">
        <v>89.5</v>
      </c>
      <c r="G626">
        <f>'DASE DADOS - DISTANCIA'!J626</f>
        <v>179</v>
      </c>
      <c r="H626" s="2">
        <v>420</v>
      </c>
      <c r="I626" s="2" t="e">
        <f>IF(#REF!&lt;17200,DISTÂNCIA3[[#This Row],[KM PARA PAGAMENTO DOS FRETES]]*4.74,((#REF!/17200)*4.74)*DISTÂNCIA3[[#This Row],[KM PARA PAGAMENTO DOS FRETES]])</f>
        <v>#REF!</v>
      </c>
      <c r="J626" s="4">
        <f>DISTÂNCIA3[[#This Row],[Valor CTE]]/DISTÂNCIA3[[#This Row],[KM PARA PAGAMENTO DOS FRETES]]</f>
        <v>5.4811173184357544</v>
      </c>
      <c r="K626" s="6">
        <f t="shared" si="22"/>
        <v>604.16999999999996</v>
      </c>
      <c r="L626" s="6">
        <f>0.92*DISTÂNCIA3[[#This Row],[KM distancia]]*4.578</f>
        <v>376.95252000000005</v>
      </c>
      <c r="M626" s="6">
        <f t="shared" si="23"/>
        <v>981.12</v>
      </c>
    </row>
    <row r="627" spans="1:13" hidden="1" x14ac:dyDescent="0.35">
      <c r="A627">
        <f>'DASE DADOS - DISTANCIA'!A627</f>
        <v>30623</v>
      </c>
      <c r="B627" t="str">
        <f>'DASE DADOS - DISTANCIA'!B627</f>
        <v>VALMIR WITTMANN</v>
      </c>
      <c r="C627" t="str">
        <f>'DASE DADOS - DISTANCIA'!C627</f>
        <v xml:space="preserve"> A1</v>
      </c>
      <c r="D627" t="str">
        <f>'DASE DADOS - DISTANCIA'!E627</f>
        <v>CAPITÃO LEÔNIDAS MARQUES</v>
      </c>
      <c r="E627" t="str">
        <f>'DASE DADOS - DISTANCIA'!I627</f>
        <v>PLUSVAL</v>
      </c>
      <c r="F627" s="7">
        <v>85</v>
      </c>
      <c r="G627">
        <f>'DASE DADOS - DISTANCIA'!J627</f>
        <v>170</v>
      </c>
      <c r="H627" s="2">
        <v>420</v>
      </c>
      <c r="I627" s="2" t="e">
        <f>IF(#REF!&lt;17200,DISTÂNCIA3[[#This Row],[KM PARA PAGAMENTO DOS FRETES]]*4.74,((#REF!/17200)*4.74)*DISTÂNCIA3[[#This Row],[KM PARA PAGAMENTO DOS FRETES]])</f>
        <v>#REF!</v>
      </c>
      <c r="J627" s="4">
        <f>DISTÂNCIA3[[#This Row],[Valor CTE]]/DISTÂNCIA3[[#This Row],[KM PARA PAGAMENTO DOS FRETES]]</f>
        <v>5.5386470588235301</v>
      </c>
      <c r="K627" s="6">
        <f t="shared" si="22"/>
        <v>583.57000000000005</v>
      </c>
      <c r="L627" s="6">
        <f>0.92*DISTÂNCIA3[[#This Row],[KM distancia]]*4.578</f>
        <v>357.99960000000004</v>
      </c>
      <c r="M627" s="6">
        <f t="shared" si="23"/>
        <v>941.57</v>
      </c>
    </row>
    <row r="628" spans="1:13" hidden="1" x14ac:dyDescent="0.35">
      <c r="A628">
        <f>'DASE DADOS - DISTANCIA'!A628</f>
        <v>0</v>
      </c>
      <c r="B628" t="str">
        <f>'DASE DADOS - DISTANCIA'!B628</f>
        <v>VALMOR ANTONIO BEBBER E VANIA RAIXZ RENGEL</v>
      </c>
      <c r="C628" t="str">
        <f>'DASE DADOS - DISTANCIA'!C628</f>
        <v xml:space="preserve"> A4</v>
      </c>
      <c r="D628" t="str">
        <f>'DASE DADOS - DISTANCIA'!E628</f>
        <v>CASCAVEL</v>
      </c>
      <c r="E628" t="str">
        <f>'DASE DADOS - DISTANCIA'!I628</f>
        <v>PLUMA</v>
      </c>
      <c r="F628" s="7">
        <v>16</v>
      </c>
      <c r="G628">
        <f>'DASE DADOS - DISTANCIA'!J628</f>
        <v>32</v>
      </c>
      <c r="H628" s="2">
        <v>420</v>
      </c>
      <c r="I628" s="2" t="e">
        <f>IF(#REF!&lt;17200,DISTÂNCIA3[[#This Row],[KM PARA PAGAMENTO DOS FRETES]]*4.74,((#REF!/17200)*4.74)*DISTÂNCIA3[[#This Row],[KM PARA PAGAMENTO DOS FRETES]])</f>
        <v>#REF!</v>
      </c>
      <c r="J628" s="4">
        <f>DISTÂNCIA3[[#This Row],[Valor CTE]]/DISTÂNCIA3[[#This Row],[KM PARA PAGAMENTO DOS FRETES]]</f>
        <v>10.47125</v>
      </c>
      <c r="K628" s="6">
        <f t="shared" si="22"/>
        <v>267.69</v>
      </c>
      <c r="L628" s="6">
        <f>0.92*DISTÂNCIA3[[#This Row],[KM distancia]]*4.578</f>
        <v>67.388160000000013</v>
      </c>
      <c r="M628" s="6">
        <f t="shared" si="23"/>
        <v>335.08</v>
      </c>
    </row>
    <row r="629" spans="1:13" hidden="1" x14ac:dyDescent="0.35">
      <c r="A629">
        <f>'DASE DADOS - DISTANCIA'!A629</f>
        <v>29901</v>
      </c>
      <c r="B629" t="str">
        <f>'DASE DADOS - DISTANCIA'!B629</f>
        <v>VALDEMOR VILLA</v>
      </c>
      <c r="C629" t="str">
        <f>'DASE DADOS - DISTANCIA'!C629</f>
        <v xml:space="preserve"> A2</v>
      </c>
      <c r="D629" t="str">
        <f>'DASE DADOS - DISTANCIA'!E629</f>
        <v>CAPITÃO LEÔNIDAS MARQUES</v>
      </c>
      <c r="E629" t="str">
        <f>'DASE DADOS - DISTANCIA'!I629</f>
        <v>PLUSVAL</v>
      </c>
      <c r="F629" s="7">
        <v>70.5</v>
      </c>
      <c r="G629">
        <f>'DASE DADOS - DISTANCIA'!J629</f>
        <v>141</v>
      </c>
      <c r="H629" s="2">
        <v>420</v>
      </c>
      <c r="I629" s="2" t="e">
        <f>IF(#REF!&lt;17200,DISTÂNCIA3[[#This Row],[KM PARA PAGAMENTO DOS FRETES]]*4.74,((#REF!/17200)*4.74)*DISTÂNCIA3[[#This Row],[KM PARA PAGAMENTO DOS FRETES]])</f>
        <v>#REF!</v>
      </c>
      <c r="J629" s="4">
        <f>DISTÂNCIA3[[#This Row],[Valor CTE]]/DISTÂNCIA3[[#This Row],[KM PARA PAGAMENTO DOS FRETES]]</f>
        <v>5.7739007092198582</v>
      </c>
      <c r="K629" s="6">
        <f t="shared" si="22"/>
        <v>517.19000000000005</v>
      </c>
      <c r="L629" s="6">
        <f>0.92*DISTÂNCIA3[[#This Row],[KM distancia]]*4.578</f>
        <v>296.92908</v>
      </c>
      <c r="M629" s="6">
        <f t="shared" si="23"/>
        <v>814.12</v>
      </c>
    </row>
    <row r="630" spans="1:13" hidden="1" x14ac:dyDescent="0.35">
      <c r="A630">
        <f>'DASE DADOS - DISTANCIA'!A630</f>
        <v>0</v>
      </c>
      <c r="B630" t="str">
        <f>'DASE DADOS - DISTANCIA'!B630</f>
        <v>VALMOR ANTONIO BEBBER E VANIA RAIXZ RENGEL</v>
      </c>
      <c r="C630" t="str">
        <f>'DASE DADOS - DISTANCIA'!C630</f>
        <v xml:space="preserve"> A1</v>
      </c>
      <c r="D630" t="str">
        <f>'DASE DADOS - DISTANCIA'!E630</f>
        <v>CASCAVEL</v>
      </c>
      <c r="E630" t="str">
        <f>'DASE DADOS - DISTANCIA'!I630</f>
        <v>PLUMA</v>
      </c>
      <c r="F630" s="7">
        <v>16</v>
      </c>
      <c r="G630">
        <f>'DASE DADOS - DISTANCIA'!J630</f>
        <v>32</v>
      </c>
      <c r="H630" s="2">
        <v>420</v>
      </c>
      <c r="I630" s="2" t="e">
        <f>IF(#REF!&lt;17200,DISTÂNCIA3[[#This Row],[KM PARA PAGAMENTO DOS FRETES]]*4.74,((#REF!/17200)*4.74)*DISTÂNCIA3[[#This Row],[KM PARA PAGAMENTO DOS FRETES]])</f>
        <v>#REF!</v>
      </c>
      <c r="J630" s="4">
        <f>DISTÂNCIA3[[#This Row],[Valor CTE]]/DISTÂNCIA3[[#This Row],[KM PARA PAGAMENTO DOS FRETES]]</f>
        <v>10.47125</v>
      </c>
      <c r="K630" s="6">
        <f t="shared" si="22"/>
        <v>267.69</v>
      </c>
      <c r="L630" s="6">
        <f>0.92*DISTÂNCIA3[[#This Row],[KM distancia]]*4.578</f>
        <v>67.388160000000013</v>
      </c>
      <c r="M630" s="6">
        <f t="shared" si="23"/>
        <v>335.08</v>
      </c>
    </row>
    <row r="631" spans="1:13" hidden="1" x14ac:dyDescent="0.35">
      <c r="A631">
        <f>'DASE DADOS - DISTANCIA'!A631</f>
        <v>29901</v>
      </c>
      <c r="B631" t="str">
        <f>'DASE DADOS - DISTANCIA'!B631</f>
        <v>VALDEMOR VILLA</v>
      </c>
      <c r="C631" t="str">
        <f>'DASE DADOS - DISTANCIA'!C631</f>
        <v xml:space="preserve"> A1</v>
      </c>
      <c r="D631" t="str">
        <f>'DASE DADOS - DISTANCIA'!E631</f>
        <v>CAPITÃO LEÔNIDAS MARQUES</v>
      </c>
      <c r="E631" t="str">
        <f>'DASE DADOS - DISTANCIA'!I631</f>
        <v>PLUSVAL</v>
      </c>
      <c r="F631" s="7">
        <v>70.5</v>
      </c>
      <c r="G631">
        <f>'DASE DADOS - DISTANCIA'!J631</f>
        <v>141</v>
      </c>
      <c r="H631" s="2">
        <v>420</v>
      </c>
      <c r="I631" s="2" t="e">
        <f>IF(#REF!&lt;17200,DISTÂNCIA3[[#This Row],[KM PARA PAGAMENTO DOS FRETES]]*4.74,((#REF!/17200)*4.74)*DISTÂNCIA3[[#This Row],[KM PARA PAGAMENTO DOS FRETES]])</f>
        <v>#REF!</v>
      </c>
      <c r="J631" s="4">
        <f>DISTÂNCIA3[[#This Row],[Valor CTE]]/DISTÂNCIA3[[#This Row],[KM PARA PAGAMENTO DOS FRETES]]</f>
        <v>5.7739007092198582</v>
      </c>
      <c r="K631" s="6">
        <f t="shared" si="22"/>
        <v>517.19000000000005</v>
      </c>
      <c r="L631" s="6">
        <f>0.92*DISTÂNCIA3[[#This Row],[KM distancia]]*4.578</f>
        <v>296.92908</v>
      </c>
      <c r="M631" s="6">
        <f t="shared" si="23"/>
        <v>814.12</v>
      </c>
    </row>
    <row r="632" spans="1:13" hidden="1" x14ac:dyDescent="0.35">
      <c r="A632">
        <f>'DASE DADOS - DISTANCIA'!A632</f>
        <v>0</v>
      </c>
      <c r="B632" t="str">
        <f>'DASE DADOS - DISTANCIA'!B632</f>
        <v>VALMOR ANTONIO BEBBER E VANIA RAIXZ RENGEL</v>
      </c>
      <c r="C632" t="str">
        <f>'DASE DADOS - DISTANCIA'!C632</f>
        <v xml:space="preserve"> A2</v>
      </c>
      <c r="D632" t="str">
        <f>'DASE DADOS - DISTANCIA'!E632</f>
        <v>CASCAVEL</v>
      </c>
      <c r="E632" t="str">
        <f>'DASE DADOS - DISTANCIA'!I632</f>
        <v>PLUMA</v>
      </c>
      <c r="F632" s="7">
        <v>16</v>
      </c>
      <c r="G632">
        <f>'DASE DADOS - DISTANCIA'!J632</f>
        <v>32</v>
      </c>
      <c r="H632" s="2">
        <v>420</v>
      </c>
      <c r="I632" s="2" t="e">
        <f>IF(#REF!&lt;17200,DISTÂNCIA3[[#This Row],[KM PARA PAGAMENTO DOS FRETES]]*4.74,((#REF!/17200)*4.74)*DISTÂNCIA3[[#This Row],[KM PARA PAGAMENTO DOS FRETES]])</f>
        <v>#REF!</v>
      </c>
      <c r="J632" s="4">
        <f>DISTÂNCIA3[[#This Row],[Valor CTE]]/DISTÂNCIA3[[#This Row],[KM PARA PAGAMENTO DOS FRETES]]</f>
        <v>10.47125</v>
      </c>
      <c r="K632" s="6">
        <f t="shared" si="22"/>
        <v>267.69</v>
      </c>
      <c r="L632" s="6">
        <f>0.92*DISTÂNCIA3[[#This Row],[KM distancia]]*4.578</f>
        <v>67.388160000000013</v>
      </c>
      <c r="M632" s="6">
        <f t="shared" si="23"/>
        <v>335.08</v>
      </c>
    </row>
    <row r="633" spans="1:13" hidden="1" x14ac:dyDescent="0.35">
      <c r="A633">
        <f>'DASE DADOS - DISTANCIA'!A633</f>
        <v>0</v>
      </c>
      <c r="B633" t="str">
        <f>'DASE DADOS - DISTANCIA'!B633</f>
        <v>VALMOR ANTONIO BEBBER E VANIA RAIXZ RENGEL</v>
      </c>
      <c r="C633" t="str">
        <f>'DASE DADOS - DISTANCIA'!C633</f>
        <v xml:space="preserve"> A3</v>
      </c>
      <c r="D633" t="str">
        <f>'DASE DADOS - DISTANCIA'!E633</f>
        <v>CASCAVEL</v>
      </c>
      <c r="E633" t="str">
        <f>'DASE DADOS - DISTANCIA'!I633</f>
        <v>PLUMA</v>
      </c>
      <c r="F633" s="7">
        <v>16</v>
      </c>
      <c r="G633">
        <f>'DASE DADOS - DISTANCIA'!J633</f>
        <v>32</v>
      </c>
      <c r="H633" s="2">
        <v>420</v>
      </c>
      <c r="I633" s="2" t="e">
        <f>IF(#REF!&lt;17200,DISTÂNCIA3[[#This Row],[KM PARA PAGAMENTO DOS FRETES]]*4.74,((#REF!/17200)*4.74)*DISTÂNCIA3[[#This Row],[KM PARA PAGAMENTO DOS FRETES]])</f>
        <v>#REF!</v>
      </c>
      <c r="J633" s="4">
        <f>DISTÂNCIA3[[#This Row],[Valor CTE]]/DISTÂNCIA3[[#This Row],[KM PARA PAGAMENTO DOS FRETES]]</f>
        <v>10.47125</v>
      </c>
      <c r="K633" s="6">
        <f t="shared" si="22"/>
        <v>267.69</v>
      </c>
      <c r="L633" s="6">
        <f>0.92*DISTÂNCIA3[[#This Row],[KM distancia]]*4.578</f>
        <v>67.388160000000013</v>
      </c>
      <c r="M633" s="6">
        <f t="shared" si="23"/>
        <v>335.08</v>
      </c>
    </row>
    <row r="634" spans="1:13" hidden="1" x14ac:dyDescent="0.35">
      <c r="A634">
        <f>'DASE DADOS - DISTANCIA'!A634</f>
        <v>0</v>
      </c>
      <c r="B634" t="str">
        <f>'DASE DADOS - DISTANCIA'!B634</f>
        <v>VALTER DE SOUZA CAZARI</v>
      </c>
      <c r="C634" t="str">
        <f>'DASE DADOS - DISTANCIA'!C634</f>
        <v xml:space="preserve"> A1</v>
      </c>
      <c r="D634" t="str">
        <f>'DASE DADOS - DISTANCIA'!E634</f>
        <v>ASSIS CHATEAUBRIAND</v>
      </c>
      <c r="E634" t="str">
        <f>'DASE DADOS - DISTANCIA'!I634</f>
        <v>PLUMA</v>
      </c>
      <c r="F634" s="7">
        <v>87</v>
      </c>
      <c r="G634">
        <f>'DASE DADOS - DISTANCIA'!J634</f>
        <v>174</v>
      </c>
      <c r="H634" s="2">
        <v>420</v>
      </c>
      <c r="I634" s="2" t="e">
        <f>IF(#REF!&lt;17200,DISTÂNCIA3[[#This Row],[KM PARA PAGAMENTO DOS FRETES]]*4.74,((#REF!/17200)*4.74)*DISTÂNCIA3[[#This Row],[KM PARA PAGAMENTO DOS FRETES]])</f>
        <v>#REF!</v>
      </c>
      <c r="J634" s="4">
        <f>DISTÂNCIA3[[#This Row],[Valor CTE]]/DISTÂNCIA3[[#This Row],[KM PARA PAGAMENTO DOS FRETES]]</f>
        <v>5.5123563218390803</v>
      </c>
      <c r="K634" s="6">
        <f t="shared" si="22"/>
        <v>592.73</v>
      </c>
      <c r="L634" s="6">
        <f>0.92*DISTÂNCIA3[[#This Row],[KM distancia]]*4.578</f>
        <v>366.42312000000004</v>
      </c>
      <c r="M634" s="6">
        <f t="shared" si="23"/>
        <v>959.15</v>
      </c>
    </row>
    <row r="635" spans="1:13" hidden="1" x14ac:dyDescent="0.35">
      <c r="A635">
        <f>'DASE DADOS - DISTANCIA'!A635</f>
        <v>0</v>
      </c>
      <c r="B635" t="str">
        <f>'DASE DADOS - DISTANCIA'!B635</f>
        <v>VALTER DE SOUZA CAZARI</v>
      </c>
      <c r="C635" t="str">
        <f>'DASE DADOS - DISTANCIA'!C635</f>
        <v xml:space="preserve"> A2</v>
      </c>
      <c r="D635" t="str">
        <f>'DASE DADOS - DISTANCIA'!E635</f>
        <v>ASSIS CHATEAUBRIAND</v>
      </c>
      <c r="E635" t="str">
        <f>'DASE DADOS - DISTANCIA'!I635</f>
        <v>PLUMA</v>
      </c>
      <c r="F635" s="7">
        <v>87</v>
      </c>
      <c r="G635">
        <f>'DASE DADOS - DISTANCIA'!J635</f>
        <v>174</v>
      </c>
      <c r="H635" s="2">
        <v>420</v>
      </c>
      <c r="I635" s="2" t="e">
        <f>IF(#REF!&lt;17200,DISTÂNCIA3[[#This Row],[KM PARA PAGAMENTO DOS FRETES]]*4.74,((#REF!/17200)*4.74)*DISTÂNCIA3[[#This Row],[KM PARA PAGAMENTO DOS FRETES]])</f>
        <v>#REF!</v>
      </c>
      <c r="J635" s="4">
        <f>DISTÂNCIA3[[#This Row],[Valor CTE]]/DISTÂNCIA3[[#This Row],[KM PARA PAGAMENTO DOS FRETES]]</f>
        <v>5.5123563218390803</v>
      </c>
      <c r="K635" s="6">
        <f t="shared" si="22"/>
        <v>592.73</v>
      </c>
      <c r="L635" s="6">
        <f>0.92*DISTÂNCIA3[[#This Row],[KM distancia]]*4.578</f>
        <v>366.42312000000004</v>
      </c>
      <c r="M635" s="6">
        <f t="shared" si="23"/>
        <v>959.15</v>
      </c>
    </row>
    <row r="636" spans="1:13" hidden="1" x14ac:dyDescent="0.35">
      <c r="A636">
        <f>'DASE DADOS - DISTANCIA'!A636</f>
        <v>0</v>
      </c>
      <c r="B636" t="str">
        <f>'DASE DADOS - DISTANCIA'!B636</f>
        <v>VANDRE LUIS HERMANN</v>
      </c>
      <c r="C636" t="str">
        <f>'DASE DADOS - DISTANCIA'!C636</f>
        <v xml:space="preserve"> A2</v>
      </c>
      <c r="D636" t="str">
        <f>'DASE DADOS - DISTANCIA'!E636</f>
        <v>MARECHAL CANDIDO RONDON</v>
      </c>
      <c r="E636" t="str">
        <f>'DASE DADOS - DISTANCIA'!I636</f>
        <v>PLUMA</v>
      </c>
      <c r="F636" s="7">
        <v>108</v>
      </c>
      <c r="G636">
        <f>'DASE DADOS - DISTANCIA'!J636</f>
        <v>216</v>
      </c>
      <c r="H636" s="2">
        <v>420</v>
      </c>
      <c r="I636" s="2" t="e">
        <f>IF(#REF!&lt;17200,DISTÂNCIA3[[#This Row],[KM PARA PAGAMENTO DOS FRETES]]*4.74,((#REF!/17200)*4.74)*DISTÂNCIA3[[#This Row],[KM PARA PAGAMENTO DOS FRETES]])</f>
        <v>#REF!</v>
      </c>
      <c r="J636" s="4">
        <f>DISTÂNCIA3[[#This Row],[Valor CTE]]/DISTÂNCIA3[[#This Row],[KM PARA PAGAMENTO DOS FRETES]]</f>
        <v>5.2950462962962961</v>
      </c>
      <c r="K636" s="6">
        <f t="shared" si="22"/>
        <v>688.86</v>
      </c>
      <c r="L636" s="6">
        <f>0.92*DISTÂNCIA3[[#This Row],[KM distancia]]*4.578</f>
        <v>454.87008000000003</v>
      </c>
      <c r="M636" s="6">
        <f t="shared" si="23"/>
        <v>1143.73</v>
      </c>
    </row>
    <row r="637" spans="1:13" hidden="1" x14ac:dyDescent="0.35">
      <c r="A637">
        <f>'DASE DADOS - DISTANCIA'!A637</f>
        <v>0</v>
      </c>
      <c r="B637" t="str">
        <f>'DASE DADOS - DISTANCIA'!B637</f>
        <v>VANDRE LUIS HERMANN</v>
      </c>
      <c r="C637" t="str">
        <f>'DASE DADOS - DISTANCIA'!C637</f>
        <v xml:space="preserve"> A1</v>
      </c>
      <c r="D637" t="str">
        <f>'DASE DADOS - DISTANCIA'!E637</f>
        <v>MARECHAL CANDIDO RONDON</v>
      </c>
      <c r="E637" t="str">
        <f>'DASE DADOS - DISTANCIA'!I637</f>
        <v>PLUMA</v>
      </c>
      <c r="F637" s="7">
        <v>108</v>
      </c>
      <c r="G637">
        <f>'DASE DADOS - DISTANCIA'!J637</f>
        <v>216</v>
      </c>
      <c r="H637" s="2">
        <v>420</v>
      </c>
      <c r="I637" s="2" t="e">
        <f>IF(#REF!&lt;17200,DISTÂNCIA3[[#This Row],[KM PARA PAGAMENTO DOS FRETES]]*4.74,((#REF!/17200)*4.74)*DISTÂNCIA3[[#This Row],[KM PARA PAGAMENTO DOS FRETES]])</f>
        <v>#REF!</v>
      </c>
      <c r="J637" s="4">
        <f>DISTÂNCIA3[[#This Row],[Valor CTE]]/DISTÂNCIA3[[#This Row],[KM PARA PAGAMENTO DOS FRETES]]</f>
        <v>5.2950462962962961</v>
      </c>
      <c r="K637" s="6">
        <f t="shared" si="22"/>
        <v>688.86</v>
      </c>
      <c r="L637" s="6">
        <f>0.92*DISTÂNCIA3[[#This Row],[KM distancia]]*4.578</f>
        <v>454.87008000000003</v>
      </c>
      <c r="M637" s="6">
        <f t="shared" si="23"/>
        <v>1143.73</v>
      </c>
    </row>
    <row r="638" spans="1:13" hidden="1" x14ac:dyDescent="0.35">
      <c r="A638">
        <f>'DASE DADOS - DISTANCIA'!A638</f>
        <v>0</v>
      </c>
      <c r="B638" t="str">
        <f>'DASE DADOS - DISTANCIA'!B638</f>
        <v>VANIA RAIXZ RENGEL</v>
      </c>
      <c r="C638" t="str">
        <f>'DASE DADOS - DISTANCIA'!C638</f>
        <v xml:space="preserve"> A1</v>
      </c>
      <c r="D638" t="str">
        <f>'DASE DADOS - DISTANCIA'!E638</f>
        <v>CASCAVEL</v>
      </c>
      <c r="E638" t="str">
        <f>'DASE DADOS - DISTANCIA'!I638</f>
        <v>PLUMA</v>
      </c>
      <c r="F638" s="7">
        <v>16</v>
      </c>
      <c r="G638">
        <f>'DASE DADOS - DISTANCIA'!J638</f>
        <v>32</v>
      </c>
      <c r="H638" s="2">
        <v>420</v>
      </c>
      <c r="I638" s="2" t="e">
        <f>IF(#REF!&lt;17200,DISTÂNCIA3[[#This Row],[KM PARA PAGAMENTO DOS FRETES]]*4.74,((#REF!/17200)*4.74)*DISTÂNCIA3[[#This Row],[KM PARA PAGAMENTO DOS FRETES]])</f>
        <v>#REF!</v>
      </c>
      <c r="J638" s="4">
        <f>DISTÂNCIA3[[#This Row],[Valor CTE]]/DISTÂNCIA3[[#This Row],[KM PARA PAGAMENTO DOS FRETES]]</f>
        <v>10.47125</v>
      </c>
      <c r="K638" s="6">
        <f t="shared" si="22"/>
        <v>267.69</v>
      </c>
      <c r="L638" s="6">
        <f>0.92*DISTÂNCIA3[[#This Row],[KM distancia]]*4.578</f>
        <v>67.388160000000013</v>
      </c>
      <c r="M638" s="6">
        <f t="shared" si="23"/>
        <v>335.08</v>
      </c>
    </row>
    <row r="639" spans="1:13" hidden="1" x14ac:dyDescent="0.35">
      <c r="A639">
        <f>'DASE DADOS - DISTANCIA'!A639</f>
        <v>5374928</v>
      </c>
      <c r="B639" t="str">
        <f>'DASE DADOS - DISTANCIA'!B639</f>
        <v>VILMAR JOSE MOTTIN</v>
      </c>
      <c r="C639" t="str">
        <f>'DASE DADOS - DISTANCIA'!C639</f>
        <v xml:space="preserve"> A1</v>
      </c>
      <c r="D639" t="str">
        <f>'DASE DADOS - DISTANCIA'!E639</f>
        <v>CASCAVEL</v>
      </c>
      <c r="E639" t="str">
        <f>'DASE DADOS - DISTANCIA'!I639</f>
        <v>PLUMA</v>
      </c>
      <c r="F639" s="7">
        <v>30</v>
      </c>
      <c r="G639">
        <f>'DASE DADOS - DISTANCIA'!J639</f>
        <v>60</v>
      </c>
      <c r="H639" s="2">
        <v>420</v>
      </c>
      <c r="I639" s="2" t="e">
        <f>IF(#REF!&lt;17200,DISTÂNCIA3[[#This Row],[KM PARA PAGAMENTO DOS FRETES]]*4.74,((#REF!/17200)*4.74)*DISTÂNCIA3[[#This Row],[KM PARA PAGAMENTO DOS FRETES]])</f>
        <v>#REF!</v>
      </c>
      <c r="J639" s="4">
        <f>DISTÂNCIA3[[#This Row],[Valor CTE]]/DISTÂNCIA3[[#This Row],[KM PARA PAGAMENTO DOS FRETES]]</f>
        <v>7.6354999999999995</v>
      </c>
      <c r="K639" s="6">
        <f t="shared" si="22"/>
        <v>331.78</v>
      </c>
      <c r="L639" s="6">
        <f>0.92*DISTÂNCIA3[[#This Row],[KM distancia]]*4.578</f>
        <v>126.35280000000002</v>
      </c>
      <c r="M639" s="6">
        <f t="shared" si="23"/>
        <v>458.13</v>
      </c>
    </row>
    <row r="640" spans="1:13" hidden="1" x14ac:dyDescent="0.35">
      <c r="A640">
        <f>'DASE DADOS - DISTANCIA'!A640</f>
        <v>5374928</v>
      </c>
      <c r="B640" t="str">
        <f>'DASE DADOS - DISTANCIA'!B640</f>
        <v>VILMAR JOSE MOTTIN</v>
      </c>
      <c r="C640" t="str">
        <f>'DASE DADOS - DISTANCIA'!C640</f>
        <v>A2</v>
      </c>
      <c r="D640" t="str">
        <f>'DASE DADOS - DISTANCIA'!E640</f>
        <v>CASCAVEL</v>
      </c>
      <c r="E640" t="str">
        <f>'DASE DADOS - DISTANCIA'!I640</f>
        <v>PLUMA</v>
      </c>
      <c r="F640" s="7">
        <v>30</v>
      </c>
      <c r="G640">
        <f>'DASE DADOS - DISTANCIA'!J640</f>
        <v>60</v>
      </c>
      <c r="H640" s="2">
        <v>420</v>
      </c>
      <c r="I640" s="2" t="e">
        <f>IF(#REF!&lt;17200,DISTÂNCIA3[[#This Row],[KM PARA PAGAMENTO DOS FRETES]]*4.74,((#REF!/17200)*4.74)*DISTÂNCIA3[[#This Row],[KM PARA PAGAMENTO DOS FRETES]])</f>
        <v>#REF!</v>
      </c>
      <c r="J640" s="4">
        <f>DISTÂNCIA3[[#This Row],[Valor CTE]]/DISTÂNCIA3[[#This Row],[KM PARA PAGAMENTO DOS FRETES]]</f>
        <v>7.6354999999999995</v>
      </c>
      <c r="K640" s="6">
        <f t="shared" si="22"/>
        <v>331.78</v>
      </c>
      <c r="L640" s="6">
        <f>0.92*DISTÂNCIA3[[#This Row],[KM distancia]]*4.578</f>
        <v>126.35280000000002</v>
      </c>
      <c r="M640" s="6">
        <f t="shared" si="23"/>
        <v>458.13</v>
      </c>
    </row>
    <row r="641" spans="1:13" hidden="1" x14ac:dyDescent="0.35">
      <c r="A641">
        <f>'DASE DADOS - DISTANCIA'!A641</f>
        <v>5311063</v>
      </c>
      <c r="B641" t="str">
        <f>'DASE DADOS - DISTANCIA'!B641</f>
        <v>VIVIANE MARIA VALTRICH</v>
      </c>
      <c r="C641" t="str">
        <f>'DASE DADOS - DISTANCIA'!C641</f>
        <v xml:space="preserve"> A1</v>
      </c>
      <c r="D641" t="str">
        <f>'DASE DADOS - DISTANCIA'!E641</f>
        <v>ASSIS CHATEAUBRIAND</v>
      </c>
      <c r="E641" t="str">
        <f>'DASE DADOS - DISTANCIA'!I641</f>
        <v>PLUMA</v>
      </c>
      <c r="F641" s="7">
        <v>68</v>
      </c>
      <c r="G641">
        <f>'DASE DADOS - DISTANCIA'!J641</f>
        <v>136</v>
      </c>
      <c r="H641" s="2">
        <v>420</v>
      </c>
      <c r="I641" s="2" t="e">
        <f>IF(#REF!&lt;17200,DISTÂNCIA3[[#This Row],[KM PARA PAGAMENTO DOS FRETES]]*4.74,((#REF!/17200)*4.74)*DISTÂNCIA3[[#This Row],[KM PARA PAGAMENTO DOS FRETES]])</f>
        <v>#REF!</v>
      </c>
      <c r="J641" s="4">
        <f>DISTÂNCIA3[[#This Row],[Valor CTE]]/DISTÂNCIA3[[#This Row],[KM PARA PAGAMENTO DOS FRETES]]</f>
        <v>5.8245588235294115</v>
      </c>
      <c r="K641" s="6">
        <f t="shared" si="22"/>
        <v>505.74</v>
      </c>
      <c r="L641" s="6">
        <f>0.92*DISTÂNCIA3[[#This Row],[KM distancia]]*4.578</f>
        <v>286.39968000000005</v>
      </c>
      <c r="M641" s="6">
        <f t="shared" si="23"/>
        <v>792.14</v>
      </c>
    </row>
    <row r="642" spans="1:13" hidden="1" x14ac:dyDescent="0.35">
      <c r="A642">
        <f>'DASE DADOS - DISTANCIA'!A642</f>
        <v>0</v>
      </c>
      <c r="B642" t="str">
        <f>'DASE DADOS - DISTANCIA'!B642</f>
        <v>WILANDO MUGGE</v>
      </c>
      <c r="C642" t="str">
        <f>'DASE DADOS - DISTANCIA'!C642</f>
        <v xml:space="preserve"> A1</v>
      </c>
      <c r="D642" t="str">
        <f>'DASE DADOS - DISTANCIA'!E642</f>
        <v>MERCEDES</v>
      </c>
      <c r="E642" t="str">
        <f>'DASE DADOS - DISTANCIA'!I642</f>
        <v>PLUMA</v>
      </c>
      <c r="F642" s="7">
        <v>114</v>
      </c>
      <c r="G642">
        <f>'DASE DADOS - DISTANCIA'!J642</f>
        <v>228</v>
      </c>
      <c r="H642" s="2">
        <v>420</v>
      </c>
      <c r="I642" s="2" t="e">
        <f>IF(#REF!&lt;17200,DISTÂNCIA3[[#This Row],[KM PARA PAGAMENTO DOS FRETES]]*4.74,((#REF!/17200)*4.74)*DISTÂNCIA3[[#This Row],[KM PARA PAGAMENTO DOS FRETES]])</f>
        <v>#REF!</v>
      </c>
      <c r="J642" s="4">
        <f>DISTÂNCIA3[[#This Row],[Valor CTE]]/DISTÂNCIA3[[#This Row],[KM PARA PAGAMENTO DOS FRETES]]</f>
        <v>5.2476754385964917</v>
      </c>
      <c r="K642" s="6">
        <f t="shared" ref="K642:K705" si="24">ROUND((F642*4.578)+194.44,2)</f>
        <v>716.33</v>
      </c>
      <c r="L642" s="6">
        <f>0.92*DISTÂNCIA3[[#This Row],[KM distancia]]*4.578</f>
        <v>480.14064000000008</v>
      </c>
      <c r="M642" s="6">
        <f t="shared" si="23"/>
        <v>1196.47</v>
      </c>
    </row>
    <row r="643" spans="1:13" hidden="1" x14ac:dyDescent="0.35">
      <c r="A643">
        <f>'DASE DADOS - DISTANCIA'!A643</f>
        <v>1139584</v>
      </c>
      <c r="B643" t="str">
        <f>'DASE DADOS - DISTANCIA'!B643</f>
        <v>VALTER DEMARCHI</v>
      </c>
      <c r="C643" t="str">
        <f>'DASE DADOS - DISTANCIA'!C643</f>
        <v xml:space="preserve"> A1</v>
      </c>
      <c r="D643" t="str">
        <f>'DASE DADOS - DISTANCIA'!E643</f>
        <v>BOM JESUS DO SUL</v>
      </c>
      <c r="E643" t="str">
        <f>'DASE DADOS - DISTANCIA'!I643</f>
        <v>PLUSVAL</v>
      </c>
      <c r="F643" s="7">
        <v>184</v>
      </c>
      <c r="G643">
        <f>'DASE DADOS - DISTANCIA'!J643</f>
        <v>368</v>
      </c>
      <c r="H643" s="2">
        <v>420</v>
      </c>
      <c r="I643" s="2" t="e">
        <f>IF(#REF!&lt;17200,DISTÂNCIA3[[#This Row],[KM PARA PAGAMENTO DOS FRETES]]*4.74,((#REF!/17200)*4.74)*DISTÂNCIA3[[#This Row],[KM PARA PAGAMENTO DOS FRETES]])</f>
        <v>#REF!</v>
      </c>
      <c r="J643" s="4">
        <f>DISTÂNCIA3[[#This Row],[Valor CTE]]/DISTÂNCIA3[[#This Row],[KM PARA PAGAMENTO DOS FRETES]]</f>
        <v>4.9232608695652171</v>
      </c>
      <c r="K643" s="6">
        <f t="shared" si="24"/>
        <v>1036.79</v>
      </c>
      <c r="L643" s="6">
        <f>0.92*DISTÂNCIA3[[#This Row],[KM distancia]]*4.578</f>
        <v>774.96384</v>
      </c>
      <c r="M643" s="6">
        <f t="shared" ref="M643:M706" si="25">ROUND(((F643*4.578)+194.44)+(0.92*F643*4.578),2)</f>
        <v>1811.76</v>
      </c>
    </row>
    <row r="644" spans="1:13" hidden="1" x14ac:dyDescent="0.35">
      <c r="A644">
        <f>'DASE DADOS - DISTANCIA'!A644</f>
        <v>0</v>
      </c>
      <c r="B644" t="str">
        <f>'DASE DADOS - DISTANCIA'!B644</f>
        <v>WILANDO MUGGE</v>
      </c>
      <c r="C644" t="str">
        <f>'DASE DADOS - DISTANCIA'!C644</f>
        <v xml:space="preserve"> A2</v>
      </c>
      <c r="D644" t="str">
        <f>'DASE DADOS - DISTANCIA'!E644</f>
        <v>MERCEDES</v>
      </c>
      <c r="E644" t="str">
        <f>'DASE DADOS - DISTANCIA'!I644</f>
        <v>PLUMA</v>
      </c>
      <c r="F644" s="7">
        <v>114</v>
      </c>
      <c r="G644">
        <f>'DASE DADOS - DISTANCIA'!J644</f>
        <v>228</v>
      </c>
      <c r="H644" s="2">
        <v>420</v>
      </c>
      <c r="I644" s="2" t="e">
        <f>IF(#REF!&lt;17200,DISTÂNCIA3[[#This Row],[KM PARA PAGAMENTO DOS FRETES]]*4.74,((#REF!/17200)*4.74)*DISTÂNCIA3[[#This Row],[KM PARA PAGAMENTO DOS FRETES]])</f>
        <v>#REF!</v>
      </c>
      <c r="J644" s="4">
        <f>DISTÂNCIA3[[#This Row],[Valor CTE]]/DISTÂNCIA3[[#This Row],[KM PARA PAGAMENTO DOS FRETES]]</f>
        <v>5.2476754385964917</v>
      </c>
      <c r="K644" s="6">
        <f t="shared" si="24"/>
        <v>716.33</v>
      </c>
      <c r="L644" s="6">
        <f>0.92*DISTÂNCIA3[[#This Row],[KM distancia]]*4.578</f>
        <v>480.14064000000008</v>
      </c>
      <c r="M644" s="6">
        <f t="shared" si="25"/>
        <v>1196.47</v>
      </c>
    </row>
    <row r="645" spans="1:13" hidden="1" x14ac:dyDescent="0.35">
      <c r="A645">
        <f>'DASE DADOS - DISTANCIA'!A645</f>
        <v>1139584</v>
      </c>
      <c r="B645" t="str">
        <f>'DASE DADOS - DISTANCIA'!B645</f>
        <v>VALTER DEMARCHI</v>
      </c>
      <c r="C645" t="str">
        <f>'DASE DADOS - DISTANCIA'!C645</f>
        <v xml:space="preserve"> A2</v>
      </c>
      <c r="D645" t="str">
        <f>'DASE DADOS - DISTANCIA'!E645</f>
        <v>BOM JESUS DO SUL</v>
      </c>
      <c r="E645" t="str">
        <f>'DASE DADOS - DISTANCIA'!I645</f>
        <v>PLUSVAL</v>
      </c>
      <c r="F645" s="7">
        <v>184</v>
      </c>
      <c r="G645">
        <f>'DASE DADOS - DISTANCIA'!J645</f>
        <v>368</v>
      </c>
      <c r="H645" s="2">
        <v>420</v>
      </c>
      <c r="I645" s="2" t="e">
        <f>IF(#REF!&lt;17200,DISTÂNCIA3[[#This Row],[KM PARA PAGAMENTO DOS FRETES]]*4.74,((#REF!/17200)*4.74)*DISTÂNCIA3[[#This Row],[KM PARA PAGAMENTO DOS FRETES]])</f>
        <v>#REF!</v>
      </c>
      <c r="J645" s="4">
        <f>DISTÂNCIA3[[#This Row],[Valor CTE]]/DISTÂNCIA3[[#This Row],[KM PARA PAGAMENTO DOS FRETES]]</f>
        <v>4.9232608695652171</v>
      </c>
      <c r="K645" s="6">
        <f t="shared" si="24"/>
        <v>1036.79</v>
      </c>
      <c r="L645" s="6">
        <f>0.92*DISTÂNCIA3[[#This Row],[KM distancia]]*4.578</f>
        <v>774.96384</v>
      </c>
      <c r="M645" s="6">
        <f t="shared" si="25"/>
        <v>1811.76</v>
      </c>
    </row>
    <row r="646" spans="1:13" hidden="1" x14ac:dyDescent="0.35">
      <c r="A646">
        <f>'DASE DADOS - DISTANCIA'!A646</f>
        <v>30063</v>
      </c>
      <c r="B646" t="str">
        <f>'DASE DADOS - DISTANCIA'!B646</f>
        <v>WILLIAM CESAR LEVANDOSKI</v>
      </c>
      <c r="C646" t="str">
        <f>'DASE DADOS - DISTANCIA'!C646</f>
        <v xml:space="preserve"> A1</v>
      </c>
      <c r="D646" t="str">
        <f>'DASE DADOS - DISTANCIA'!E646</f>
        <v>BELA VISTA DA CAROBA</v>
      </c>
      <c r="E646" t="str">
        <f>'DASE DADOS - DISTANCIA'!I646</f>
        <v>PLUSVAL</v>
      </c>
      <c r="F646" s="7">
        <v>131</v>
      </c>
      <c r="G646">
        <f>'DASE DADOS - DISTANCIA'!J646</f>
        <v>262</v>
      </c>
      <c r="H646" s="2">
        <v>420</v>
      </c>
      <c r="I646" s="2" t="e">
        <f>IF(#REF!&lt;17200,DISTÂNCIA3[[#This Row],[KM PARA PAGAMENTO DOS FRETES]]*4.74,((#REF!/17200)*4.74)*DISTÂNCIA3[[#This Row],[KM PARA PAGAMENTO DOS FRETES]])</f>
        <v>#REF!</v>
      </c>
      <c r="J646" s="4">
        <f>DISTÂNCIA3[[#This Row],[Valor CTE]]/DISTÂNCIA3[[#This Row],[KM PARA PAGAMENTO DOS FRETES]]</f>
        <v>5.137022900763359</v>
      </c>
      <c r="K646" s="6">
        <f t="shared" si="24"/>
        <v>794.16</v>
      </c>
      <c r="L646" s="6">
        <f>0.92*DISTÂNCIA3[[#This Row],[KM distancia]]*4.578</f>
        <v>551.74056000000007</v>
      </c>
      <c r="M646" s="6">
        <f t="shared" si="25"/>
        <v>1345.9</v>
      </c>
    </row>
    <row r="647" spans="1:13" hidden="1" x14ac:dyDescent="0.35">
      <c r="A647">
        <f>'DASE DADOS - DISTANCIA'!A647</f>
        <v>29896</v>
      </c>
      <c r="B647" t="str">
        <f>'DASE DADOS - DISTANCIA'!B647</f>
        <v>WOLNEI GINDRI</v>
      </c>
      <c r="C647" t="str">
        <f>'DASE DADOS - DISTANCIA'!C647</f>
        <v xml:space="preserve"> A2</v>
      </c>
      <c r="D647" t="str">
        <f>'DASE DADOS - DISTANCIA'!E647</f>
        <v>PÉROLA DO OESTE</v>
      </c>
      <c r="E647" t="str">
        <f>'DASE DADOS - DISTANCIA'!I647</f>
        <v>PLUSVAL</v>
      </c>
      <c r="F647" s="7">
        <v>144</v>
      </c>
      <c r="G647">
        <f>'DASE DADOS - DISTANCIA'!J647</f>
        <v>288</v>
      </c>
      <c r="H647" s="2">
        <v>420</v>
      </c>
      <c r="I647" s="2" t="e">
        <f>IF(#REF!&lt;17200,DISTÂNCIA3[[#This Row],[KM PARA PAGAMENTO DOS FRETES]]*4.74,((#REF!/17200)*4.74)*DISTÂNCIA3[[#This Row],[KM PARA PAGAMENTO DOS FRETES]])</f>
        <v>#REF!</v>
      </c>
      <c r="J647" s="4">
        <f>DISTÂNCIA3[[#This Row],[Valor CTE]]/DISTÂNCIA3[[#This Row],[KM PARA PAGAMENTO DOS FRETES]]</f>
        <v>5.0700347222222222</v>
      </c>
      <c r="K647" s="6">
        <f t="shared" si="24"/>
        <v>853.67</v>
      </c>
      <c r="L647" s="6">
        <f>0.92*DISTÂNCIA3[[#This Row],[KM distancia]]*4.578</f>
        <v>606.49344000000008</v>
      </c>
      <c r="M647" s="6">
        <f t="shared" si="25"/>
        <v>1460.17</v>
      </c>
    </row>
    <row r="648" spans="1:13" hidden="1" x14ac:dyDescent="0.35">
      <c r="A648">
        <f>'DASE DADOS - DISTANCIA'!A648</f>
        <v>29896</v>
      </c>
      <c r="B648" t="str">
        <f>'DASE DADOS - DISTANCIA'!B648</f>
        <v>WOLNEI GINDRI</v>
      </c>
      <c r="C648" t="str">
        <f>'DASE DADOS - DISTANCIA'!C648</f>
        <v xml:space="preserve"> A1</v>
      </c>
      <c r="D648" t="str">
        <f>'DASE DADOS - DISTANCIA'!E648</f>
        <v>PÉROLA DO OESTE</v>
      </c>
      <c r="E648" t="str">
        <f>'DASE DADOS - DISTANCIA'!I648</f>
        <v>PLUSVAL</v>
      </c>
      <c r="F648" s="7">
        <v>144</v>
      </c>
      <c r="G648">
        <f>'DASE DADOS - DISTANCIA'!J648</f>
        <v>288</v>
      </c>
      <c r="H648" s="2">
        <v>420</v>
      </c>
      <c r="I648" s="2" t="e">
        <f>IF(#REF!&lt;17200,DISTÂNCIA3[[#This Row],[KM PARA PAGAMENTO DOS FRETES]]*4.74,((#REF!/17200)*4.74)*DISTÂNCIA3[[#This Row],[KM PARA PAGAMENTO DOS FRETES]])</f>
        <v>#REF!</v>
      </c>
      <c r="J648" s="4">
        <f>DISTÂNCIA3[[#This Row],[Valor CTE]]/DISTÂNCIA3[[#This Row],[KM PARA PAGAMENTO DOS FRETES]]</f>
        <v>5.0700347222222222</v>
      </c>
      <c r="K648" s="6">
        <f t="shared" si="24"/>
        <v>853.67</v>
      </c>
      <c r="L648" s="6">
        <f>0.92*DISTÂNCIA3[[#This Row],[KM distancia]]*4.578</f>
        <v>606.49344000000008</v>
      </c>
      <c r="M648" s="6">
        <f t="shared" si="25"/>
        <v>1460.17</v>
      </c>
    </row>
    <row r="649" spans="1:13" hidden="1" x14ac:dyDescent="0.35">
      <c r="A649">
        <f>'DASE DADOS - DISTANCIA'!A649</f>
        <v>29896</v>
      </c>
      <c r="B649" t="str">
        <f>'DASE DADOS - DISTANCIA'!B649</f>
        <v>WOLNEI GINDRI</v>
      </c>
      <c r="C649" t="str">
        <f>'DASE DADOS - DISTANCIA'!C649</f>
        <v xml:space="preserve"> A3</v>
      </c>
      <c r="D649" t="str">
        <f>'DASE DADOS - DISTANCIA'!E649</f>
        <v>PÉROLA DO OESTE</v>
      </c>
      <c r="E649" t="str">
        <f>'DASE DADOS - DISTANCIA'!I649</f>
        <v>PLUSVAL</v>
      </c>
      <c r="F649" s="7">
        <v>144</v>
      </c>
      <c r="G649">
        <f>'DASE DADOS - DISTANCIA'!J649</f>
        <v>288</v>
      </c>
      <c r="H649" s="2">
        <v>420</v>
      </c>
      <c r="I649" s="2" t="e">
        <f>IF(#REF!&lt;17200,DISTÂNCIA3[[#This Row],[KM PARA PAGAMENTO DOS FRETES]]*4.74,((#REF!/17200)*4.74)*DISTÂNCIA3[[#This Row],[KM PARA PAGAMENTO DOS FRETES]])</f>
        <v>#REF!</v>
      </c>
      <c r="J649" s="4">
        <f>DISTÂNCIA3[[#This Row],[Valor CTE]]/DISTÂNCIA3[[#This Row],[KM PARA PAGAMENTO DOS FRETES]]</f>
        <v>5.0700347222222222</v>
      </c>
      <c r="K649" s="6">
        <f t="shared" si="24"/>
        <v>853.67</v>
      </c>
      <c r="L649" s="6">
        <f>0.92*DISTÂNCIA3[[#This Row],[KM distancia]]*4.578</f>
        <v>606.49344000000008</v>
      </c>
      <c r="M649" s="6">
        <f t="shared" si="25"/>
        <v>1460.17</v>
      </c>
    </row>
    <row r="650" spans="1:13" hidden="1" x14ac:dyDescent="0.35">
      <c r="A650">
        <f>'DASE DADOS - DISTANCIA'!A650</f>
        <v>0</v>
      </c>
      <c r="B650" t="str">
        <f>'DASE DADOS - DISTANCIA'!B650</f>
        <v>MARCELI EHLERT EISEN</v>
      </c>
      <c r="C650" t="str">
        <f>'DASE DADOS - DISTANCIA'!C650</f>
        <v>A1</v>
      </c>
      <c r="D650" t="str">
        <f>'DASE DADOS - DISTANCIA'!E650</f>
        <v>NOVA SANTA ROSA</v>
      </c>
      <c r="E650" t="str">
        <f>'DASE DADOS - DISTANCIA'!I650</f>
        <v>PLUMA</v>
      </c>
      <c r="F650" s="7">
        <v>105.5</v>
      </c>
      <c r="G650">
        <f>'DASE DADOS - DISTANCIA'!J650</f>
        <v>211</v>
      </c>
      <c r="H650" s="2">
        <v>420</v>
      </c>
      <c r="I650" s="2" t="e">
        <f>IF(#REF!&lt;17200,DISTÂNCIA3[[#This Row],[KM PARA PAGAMENTO DOS FRETES]]*4.74,((#REF!/17200)*4.74)*DISTÂNCIA3[[#This Row],[KM PARA PAGAMENTO DOS FRETES]])</f>
        <v>#REF!</v>
      </c>
      <c r="J650" s="4">
        <f>DISTÂNCIA3[[#This Row],[Valor CTE]]/DISTÂNCIA3[[#This Row],[KM PARA PAGAMENTO DOS FRETES]]</f>
        <v>5.3163981042654029</v>
      </c>
      <c r="K650" s="6">
        <f t="shared" si="24"/>
        <v>677.42</v>
      </c>
      <c r="L650" s="6">
        <f>0.92*DISTÂNCIA3[[#This Row],[KM distancia]]*4.578</f>
        <v>444.34068000000002</v>
      </c>
      <c r="M650" s="6">
        <f t="shared" si="25"/>
        <v>1121.76</v>
      </c>
    </row>
    <row r="651" spans="1:13" hidden="1" x14ac:dyDescent="0.35">
      <c r="A651">
        <f>'DASE DADOS - DISTANCIA'!A651</f>
        <v>0</v>
      </c>
      <c r="B651" t="str">
        <f>'DASE DADOS - DISTANCIA'!B651</f>
        <v>MARCELI EHLERT EISEN</v>
      </c>
      <c r="C651" t="str">
        <f>'DASE DADOS - DISTANCIA'!C651</f>
        <v>A2</v>
      </c>
      <c r="D651" t="str">
        <f>'DASE DADOS - DISTANCIA'!E651</f>
        <v>NOVA SANTA ROSA</v>
      </c>
      <c r="E651" t="str">
        <f>'DASE DADOS - DISTANCIA'!I651</f>
        <v>PLUMA</v>
      </c>
      <c r="F651" s="7">
        <v>105.5</v>
      </c>
      <c r="G651">
        <f>'DASE DADOS - DISTANCIA'!J651</f>
        <v>211</v>
      </c>
      <c r="H651" s="2">
        <v>420</v>
      </c>
      <c r="I651" s="2" t="e">
        <f>IF(#REF!&lt;17200,DISTÂNCIA3[[#This Row],[KM PARA PAGAMENTO DOS FRETES]]*4.74,((#REF!/17200)*4.74)*DISTÂNCIA3[[#This Row],[KM PARA PAGAMENTO DOS FRETES]])</f>
        <v>#REF!</v>
      </c>
      <c r="J651" s="4">
        <f>DISTÂNCIA3[[#This Row],[Valor CTE]]/DISTÂNCIA3[[#This Row],[KM PARA PAGAMENTO DOS FRETES]]</f>
        <v>5.3163981042654029</v>
      </c>
      <c r="K651" s="6">
        <f t="shared" si="24"/>
        <v>677.42</v>
      </c>
      <c r="L651" s="6">
        <f>0.92*DISTÂNCIA3[[#This Row],[KM distancia]]*4.578</f>
        <v>444.34068000000002</v>
      </c>
      <c r="M651" s="6">
        <f t="shared" si="25"/>
        <v>1121.76</v>
      </c>
    </row>
    <row r="652" spans="1:13" hidden="1" x14ac:dyDescent="0.35">
      <c r="A652">
        <f>'DASE DADOS - DISTANCIA'!A652</f>
        <v>0</v>
      </c>
      <c r="B652" t="str">
        <f>'DASE DADOS - DISTANCIA'!B652</f>
        <v>MARCELI EHLERT EISEN</v>
      </c>
      <c r="C652" t="str">
        <f>'DASE DADOS - DISTANCIA'!C652</f>
        <v>A3</v>
      </c>
      <c r="D652" t="str">
        <f>'DASE DADOS - DISTANCIA'!E652</f>
        <v>NOVA SANTA ROSA</v>
      </c>
      <c r="E652" t="str">
        <f>'DASE DADOS - DISTANCIA'!I652</f>
        <v>PLUMA</v>
      </c>
      <c r="F652" s="7">
        <v>105.5</v>
      </c>
      <c r="G652">
        <f>'DASE DADOS - DISTANCIA'!J652</f>
        <v>211</v>
      </c>
      <c r="H652" s="2">
        <v>420</v>
      </c>
      <c r="I652" s="2" t="e">
        <f>IF(#REF!&lt;17200,DISTÂNCIA3[[#This Row],[KM PARA PAGAMENTO DOS FRETES]]*4.74,((#REF!/17200)*4.74)*DISTÂNCIA3[[#This Row],[KM PARA PAGAMENTO DOS FRETES]])</f>
        <v>#REF!</v>
      </c>
      <c r="J652" s="4">
        <f>DISTÂNCIA3[[#This Row],[Valor CTE]]/DISTÂNCIA3[[#This Row],[KM PARA PAGAMENTO DOS FRETES]]</f>
        <v>5.3163981042654029</v>
      </c>
      <c r="K652" s="6">
        <f t="shared" si="24"/>
        <v>677.42</v>
      </c>
      <c r="L652" s="6">
        <f>0.92*DISTÂNCIA3[[#This Row],[KM distancia]]*4.578</f>
        <v>444.34068000000002</v>
      </c>
      <c r="M652" s="6">
        <f t="shared" si="25"/>
        <v>1121.76</v>
      </c>
    </row>
    <row r="653" spans="1:13" hidden="1" x14ac:dyDescent="0.35">
      <c r="A653">
        <f>'DASE DADOS - DISTANCIA'!A653</f>
        <v>0</v>
      </c>
      <c r="B653" t="str">
        <f>'DASE DADOS - DISTANCIA'!B653</f>
        <v>MARCELI EHLERT EISEN</v>
      </c>
      <c r="C653" t="str">
        <f>'DASE DADOS - DISTANCIA'!C653</f>
        <v>A4</v>
      </c>
      <c r="D653" t="str">
        <f>'DASE DADOS - DISTANCIA'!E653</f>
        <v>NOVA SANTA ROSA</v>
      </c>
      <c r="E653" t="str">
        <f>'DASE DADOS - DISTANCIA'!I653</f>
        <v>PLUMA</v>
      </c>
      <c r="F653" s="7">
        <v>105.5</v>
      </c>
      <c r="G653">
        <f>'DASE DADOS - DISTANCIA'!J653</f>
        <v>211</v>
      </c>
      <c r="H653" s="2">
        <v>420</v>
      </c>
      <c r="I653" s="2" t="e">
        <f>IF(#REF!&lt;17200,DISTÂNCIA3[[#This Row],[KM PARA PAGAMENTO DOS FRETES]]*4.74,((#REF!/17200)*4.74)*DISTÂNCIA3[[#This Row],[KM PARA PAGAMENTO DOS FRETES]])</f>
        <v>#REF!</v>
      </c>
      <c r="J653" s="4">
        <f>DISTÂNCIA3[[#This Row],[Valor CTE]]/DISTÂNCIA3[[#This Row],[KM PARA PAGAMENTO DOS FRETES]]</f>
        <v>5.3163981042654029</v>
      </c>
      <c r="K653" s="6">
        <f t="shared" si="24"/>
        <v>677.42</v>
      </c>
      <c r="L653" s="6">
        <f>0.92*DISTÂNCIA3[[#This Row],[KM distancia]]*4.578</f>
        <v>444.34068000000002</v>
      </c>
      <c r="M653" s="6">
        <f t="shared" si="25"/>
        <v>1121.76</v>
      </c>
    </row>
    <row r="654" spans="1:13" hidden="1" x14ac:dyDescent="0.35">
      <c r="A654">
        <f>'DASE DADOS - DISTANCIA'!A654</f>
        <v>30084</v>
      </c>
      <c r="B654" t="str">
        <f>'DASE DADOS - DISTANCIA'!B654</f>
        <v>ROMALDO DE OLIVEIRA</v>
      </c>
      <c r="C654" t="str">
        <f>'DASE DADOS - DISTANCIA'!C654</f>
        <v>A4</v>
      </c>
      <c r="D654" t="str">
        <f>'DASE DADOS - DISTANCIA'!E654</f>
        <v>PLANALTO</v>
      </c>
      <c r="E654" t="str">
        <f>'DASE DADOS - DISTANCIA'!I654</f>
        <v>PLUSVAL</v>
      </c>
      <c r="F654" s="7">
        <v>124</v>
      </c>
      <c r="G654">
        <v>248</v>
      </c>
      <c r="H654" s="2">
        <v>420</v>
      </c>
      <c r="I654" s="2" t="e">
        <f>IF(#REF!&lt;17200,DISTÂNCIA3[[#This Row],[KM PARA PAGAMENTO DOS FRETES]]*4.74,((#REF!/17200)*4.74)*DISTÂNCIA3[[#This Row],[KM PARA PAGAMENTO DOS FRETES]])</f>
        <v>#REF!</v>
      </c>
      <c r="J654" s="4">
        <f>DISTÂNCIA3[[#This Row],[Valor CTE]]/DISTÂNCIA3[[#This Row],[KM PARA PAGAMENTO DOS FRETES]]</f>
        <v>5.1789112903225805</v>
      </c>
      <c r="K654" s="6">
        <f t="shared" si="24"/>
        <v>762.11</v>
      </c>
      <c r="L654" s="6">
        <f>0.92*DISTÂNCIA3[[#This Row],[KM distancia]]*4.578</f>
        <v>522.25824</v>
      </c>
      <c r="M654" s="6">
        <f t="shared" si="25"/>
        <v>1284.3699999999999</v>
      </c>
    </row>
    <row r="655" spans="1:13" hidden="1" x14ac:dyDescent="0.35">
      <c r="A655">
        <f>'DASE DADOS - DISTANCIA'!A655</f>
        <v>6354475</v>
      </c>
      <c r="B655" t="str">
        <f>'DASE DADOS - DISTANCIA'!B655</f>
        <v>MATHEUS HENRIQUE BRIXNER</v>
      </c>
      <c r="C655" t="str">
        <f>'DASE DADOS - DISTANCIA'!C655</f>
        <v>A3</v>
      </c>
      <c r="D655" t="str">
        <f>'DASE DADOS - DISTANCIA'!E655</f>
        <v>BRAGANEY</v>
      </c>
      <c r="E655" t="str">
        <f>'DASE DADOS - DISTANCIA'!I655</f>
        <v>PLUMA</v>
      </c>
      <c r="F655" s="7">
        <v>48</v>
      </c>
      <c r="G655">
        <f>'DASE DADOS - DISTANCIA'!J655</f>
        <v>96</v>
      </c>
      <c r="H655" s="2">
        <v>420</v>
      </c>
      <c r="I655" s="2" t="e">
        <f>IF(#REF!&lt;17200,DISTÂNCIA3[[#This Row],[KM PARA PAGAMENTO DOS FRETES]]*4.74,((#REF!/17200)*4.74)*DISTÂNCIA3[[#This Row],[KM PARA PAGAMENTO DOS FRETES]])</f>
        <v>#REF!</v>
      </c>
      <c r="J655" s="4">
        <f>DISTÂNCIA3[[#This Row],[Valor CTE]]/DISTÂNCIA3[[#This Row],[KM PARA PAGAMENTO DOS FRETES]]</f>
        <v>6.4203125000000005</v>
      </c>
      <c r="K655" s="6">
        <f t="shared" si="24"/>
        <v>414.18</v>
      </c>
      <c r="L655" s="6">
        <f>0.92*DISTÂNCIA3[[#This Row],[KM distancia]]*4.578</f>
        <v>202.16448000000003</v>
      </c>
      <c r="M655" s="6">
        <f t="shared" si="25"/>
        <v>616.35</v>
      </c>
    </row>
    <row r="656" spans="1:13" hidden="1" x14ac:dyDescent="0.35">
      <c r="A656">
        <f>'DASE DADOS - DISTANCIA'!A656</f>
        <v>6354475</v>
      </c>
      <c r="B656" t="str">
        <f>'DASE DADOS - DISTANCIA'!B656</f>
        <v>MATHEUS HENRIQUE BRIXNER</v>
      </c>
      <c r="C656" t="str">
        <f>'DASE DADOS - DISTANCIA'!C656</f>
        <v>A4</v>
      </c>
      <c r="D656" t="str">
        <f>'DASE DADOS - DISTANCIA'!E656</f>
        <v>BRAGANEY</v>
      </c>
      <c r="E656" t="str">
        <f>'DASE DADOS - DISTANCIA'!I656</f>
        <v>PLUMA</v>
      </c>
      <c r="F656" s="7">
        <v>48</v>
      </c>
      <c r="G656">
        <f>'DASE DADOS - DISTANCIA'!J656</f>
        <v>96</v>
      </c>
      <c r="H656" s="2">
        <v>420</v>
      </c>
      <c r="I656" s="2" t="e">
        <f>IF(#REF!&lt;17200,DISTÂNCIA3[[#This Row],[KM PARA PAGAMENTO DOS FRETES]]*4.74,((#REF!/17200)*4.74)*DISTÂNCIA3[[#This Row],[KM PARA PAGAMENTO DOS FRETES]])</f>
        <v>#REF!</v>
      </c>
      <c r="J656" s="4">
        <f>DISTÂNCIA3[[#This Row],[Valor CTE]]/DISTÂNCIA3[[#This Row],[KM PARA PAGAMENTO DOS FRETES]]</f>
        <v>6.4203125000000005</v>
      </c>
      <c r="K656" s="6">
        <f t="shared" si="24"/>
        <v>414.18</v>
      </c>
      <c r="L656" s="6">
        <f>0.92*DISTÂNCIA3[[#This Row],[KM distancia]]*4.578</f>
        <v>202.16448000000003</v>
      </c>
      <c r="M656" s="6">
        <f t="shared" si="25"/>
        <v>616.35</v>
      </c>
    </row>
    <row r="657" spans="1:13" hidden="1" x14ac:dyDescent="0.35">
      <c r="A657">
        <f>'DASE DADOS - DISTANCIA'!A657</f>
        <v>0</v>
      </c>
      <c r="B657" t="str">
        <f>'DASE DADOS - DISTANCIA'!B657</f>
        <v>ADEMIR LUIZ CHIUMENTO</v>
      </c>
      <c r="C657" t="str">
        <f>'DASE DADOS - DISTANCIA'!C657</f>
        <v>A1</v>
      </c>
      <c r="D657" t="str">
        <f>'DASE DADOS - DISTANCIA'!E657</f>
        <v>PALOTINA</v>
      </c>
      <c r="E657" t="str">
        <f>'DASE DADOS - DISTANCIA'!I657</f>
        <v>PLUMA</v>
      </c>
      <c r="F657" s="7">
        <v>131</v>
      </c>
      <c r="G657">
        <f>'DASE DADOS - DISTANCIA'!J657</f>
        <v>262</v>
      </c>
      <c r="H657" s="2">
        <v>420</v>
      </c>
      <c r="I657" s="2" t="e">
        <f>IF(#REF!&lt;17200,DISTÂNCIA3[[#This Row],[KM PARA PAGAMENTO DOS FRETES]]*4.74,((#REF!/17200)*4.74)*DISTÂNCIA3[[#This Row],[KM PARA PAGAMENTO DOS FRETES]])</f>
        <v>#REF!</v>
      </c>
      <c r="J657" s="4">
        <f>DISTÂNCIA3[[#This Row],[Valor CTE]]/DISTÂNCIA3[[#This Row],[KM PARA PAGAMENTO DOS FRETES]]</f>
        <v>5.137022900763359</v>
      </c>
      <c r="K657" s="6">
        <f t="shared" si="24"/>
        <v>794.16</v>
      </c>
      <c r="L657" s="6">
        <f>0.92*DISTÂNCIA3[[#This Row],[KM distancia]]*4.578</f>
        <v>551.74056000000007</v>
      </c>
      <c r="M657" s="6">
        <f t="shared" si="25"/>
        <v>1345.9</v>
      </c>
    </row>
    <row r="658" spans="1:13" hidden="1" x14ac:dyDescent="0.35">
      <c r="A658">
        <f>'DASE DADOS - DISTANCIA'!A658</f>
        <v>0</v>
      </c>
      <c r="B658" t="str">
        <f>'DASE DADOS - DISTANCIA'!B658</f>
        <v>ANTONIO PONTILI FILHO</v>
      </c>
      <c r="C658" t="str">
        <f>'DASE DADOS - DISTANCIA'!C658</f>
        <v>A1</v>
      </c>
      <c r="D658" t="str">
        <f>'DASE DADOS - DISTANCIA'!E658</f>
        <v>OURO VERDE DO OESTE</v>
      </c>
      <c r="E658" t="str">
        <f>'DASE DADOS - DISTANCIA'!I658</f>
        <v>PLUMA</v>
      </c>
      <c r="F658" s="7">
        <v>76</v>
      </c>
      <c r="G658">
        <f>'DASE DADOS - DISTANCIA'!J658</f>
        <v>152</v>
      </c>
      <c r="H658" s="2">
        <v>420</v>
      </c>
      <c r="I658" s="2" t="e">
        <f>IF(#REF!&lt;17200,DISTÂNCIA3[[#This Row],[KM PARA PAGAMENTO DOS FRETES]]*4.74,((#REF!/17200)*4.74)*DISTÂNCIA3[[#This Row],[KM PARA PAGAMENTO DOS FRETES]])</f>
        <v>#REF!</v>
      </c>
      <c r="J658" s="4">
        <f>DISTÂNCIA3[[#This Row],[Valor CTE]]/DISTÂNCIA3[[#This Row],[KM PARA PAGAMENTO DOS FRETES]]</f>
        <v>5.6740789473684217</v>
      </c>
      <c r="K658" s="6">
        <f t="shared" si="24"/>
        <v>542.37</v>
      </c>
      <c r="L658" s="6">
        <f>0.92*DISTÂNCIA3[[#This Row],[KM distancia]]*4.578</f>
        <v>320.09376000000003</v>
      </c>
      <c r="M658" s="6">
        <f t="shared" si="25"/>
        <v>862.46</v>
      </c>
    </row>
    <row r="659" spans="1:13" hidden="1" x14ac:dyDescent="0.35">
      <c r="A659">
        <f>'DASE DADOS - DISTANCIA'!A659</f>
        <v>0</v>
      </c>
      <c r="B659" t="str">
        <f>'DASE DADOS - DISTANCIA'!B659</f>
        <v>SERGIO ANTONINHO SPEZZIA</v>
      </c>
      <c r="C659" t="str">
        <f>'DASE DADOS - DISTANCIA'!C659</f>
        <v>A3</v>
      </c>
      <c r="D659" t="str">
        <f>'DASE DADOS - DISTANCIA'!E659</f>
        <v>BARRACÃO</v>
      </c>
      <c r="E659" t="str">
        <f>'DASE DADOS - DISTANCIA'!I659</f>
        <v>PLUSVAL</v>
      </c>
      <c r="F659" s="7">
        <v>193</v>
      </c>
      <c r="G659">
        <f>'DASE DADOS - DISTANCIA'!J659</f>
        <v>386</v>
      </c>
      <c r="H659" s="2">
        <v>420</v>
      </c>
      <c r="I659" s="2" t="e">
        <f>IF(#REF!&lt;17200,DISTÂNCIA3[[#This Row],[KM PARA PAGAMENTO DOS FRETES]]*4.74,((#REF!/17200)*4.74)*DISTÂNCIA3[[#This Row],[KM PARA PAGAMENTO DOS FRETES]])</f>
        <v>#REF!</v>
      </c>
      <c r="J659" s="4">
        <f>DISTÂNCIA3[[#This Row],[Valor CTE]]/DISTÂNCIA3[[#This Row],[KM PARA PAGAMENTO DOS FRETES]]</f>
        <v>4.8986010362694294</v>
      </c>
      <c r="K659" s="6">
        <f t="shared" si="24"/>
        <v>1077.99</v>
      </c>
      <c r="L659" s="6">
        <f>0.92*DISTÂNCIA3[[#This Row],[KM distancia]]*4.578</f>
        <v>812.86968000000002</v>
      </c>
      <c r="M659" s="6">
        <f t="shared" si="25"/>
        <v>1890.86</v>
      </c>
    </row>
    <row r="660" spans="1:13" hidden="1" x14ac:dyDescent="0.35">
      <c r="A660">
        <f>'DASE DADOS - DISTANCIA'!A660</f>
        <v>0</v>
      </c>
      <c r="B660" t="str">
        <f>'DASE DADOS - DISTANCIA'!B660</f>
        <v>ADEMIR LUIZ CHIUMENTO</v>
      </c>
      <c r="C660" t="str">
        <f>'DASE DADOS - DISTANCIA'!C660</f>
        <v>A2</v>
      </c>
      <c r="D660" t="str">
        <f>'DASE DADOS - DISTANCIA'!E660</f>
        <v>PALOTINA</v>
      </c>
      <c r="E660" t="str">
        <f>'DASE DADOS - DISTANCIA'!I660</f>
        <v>PLUMA</v>
      </c>
      <c r="F660" s="7">
        <v>131</v>
      </c>
      <c r="G660">
        <f>'DASE DADOS - DISTANCIA'!J660</f>
        <v>262</v>
      </c>
      <c r="H660" s="2">
        <v>420</v>
      </c>
      <c r="I660" s="2" t="e">
        <f>IF(#REF!&lt;17200,DISTÂNCIA3[[#This Row],[KM PARA PAGAMENTO DOS FRETES]]*4.74,((#REF!/17200)*4.74)*DISTÂNCIA3[[#This Row],[KM PARA PAGAMENTO DOS FRETES]])</f>
        <v>#REF!</v>
      </c>
      <c r="J660" s="4">
        <f>DISTÂNCIA3[[#This Row],[Valor CTE]]/DISTÂNCIA3[[#This Row],[KM PARA PAGAMENTO DOS FRETES]]</f>
        <v>5.137022900763359</v>
      </c>
      <c r="K660" s="6">
        <f t="shared" si="24"/>
        <v>794.16</v>
      </c>
      <c r="L660" s="6">
        <f>0.92*DISTÂNCIA3[[#This Row],[KM distancia]]*4.578</f>
        <v>551.74056000000007</v>
      </c>
      <c r="M660" s="6">
        <f t="shared" si="25"/>
        <v>1345.9</v>
      </c>
    </row>
    <row r="661" spans="1:13" hidden="1" x14ac:dyDescent="0.35">
      <c r="A661">
        <f>'DASE DADOS - DISTANCIA'!A661</f>
        <v>0</v>
      </c>
      <c r="B661" t="str">
        <f>'DASE DADOS - DISTANCIA'!B661</f>
        <v>LUIS FERNANDO LUFT</v>
      </c>
      <c r="C661" t="str">
        <f>'DASE DADOS - DISTANCIA'!C661</f>
        <v>A1</v>
      </c>
      <c r="D661" t="str">
        <f>'DASE DADOS - DISTANCIA'!E661</f>
        <v>CAPANEMA</v>
      </c>
      <c r="E661" t="str">
        <f>'DASE DADOS - DISTANCIA'!I661</f>
        <v>PLUSVAL</v>
      </c>
      <c r="F661" s="7">
        <v>121</v>
      </c>
      <c r="G661">
        <f>'DASE DADOS - DISTANCIA'!J661</f>
        <v>242</v>
      </c>
      <c r="H661" s="2">
        <v>420</v>
      </c>
      <c r="I661" s="2" t="e">
        <f>IF(#REF!&lt;17200,DISTÂNCIA3[[#This Row],[KM PARA PAGAMENTO DOS FRETES]]*4.74,((#REF!/17200)*4.74)*DISTÂNCIA3[[#This Row],[KM PARA PAGAMENTO DOS FRETES]])</f>
        <v>#REF!</v>
      </c>
      <c r="J661" s="4">
        <f>DISTÂNCIA3[[#This Row],[Valor CTE]]/DISTÂNCIA3[[#This Row],[KM PARA PAGAMENTO DOS FRETES]]</f>
        <v>5.1983471074380168</v>
      </c>
      <c r="K661" s="6">
        <f t="shared" si="24"/>
        <v>748.38</v>
      </c>
      <c r="L661" s="6">
        <f>0.92*DISTÂNCIA3[[#This Row],[KM distancia]]*4.578</f>
        <v>509.62296000000009</v>
      </c>
      <c r="M661" s="6">
        <f t="shared" si="25"/>
        <v>1258</v>
      </c>
    </row>
    <row r="662" spans="1:13" hidden="1" x14ac:dyDescent="0.35">
      <c r="A662">
        <f>'DASE DADOS - DISTANCIA'!A662</f>
        <v>0</v>
      </c>
      <c r="B662" t="str">
        <f>'DASE DADOS - DISTANCIA'!B662</f>
        <v>LUIS FERNANDO LUFT</v>
      </c>
      <c r="C662" t="str">
        <f>'DASE DADOS - DISTANCIA'!C662</f>
        <v>A2</v>
      </c>
      <c r="D662" t="str">
        <f>'DASE DADOS - DISTANCIA'!E662</f>
        <v>CAPANEMA</v>
      </c>
      <c r="E662" t="str">
        <f>'DASE DADOS - DISTANCIA'!I662</f>
        <v>PLUSVAL</v>
      </c>
      <c r="F662" s="7">
        <v>121</v>
      </c>
      <c r="G662">
        <f>'DASE DADOS - DISTANCIA'!J662</f>
        <v>242</v>
      </c>
      <c r="H662" s="2">
        <v>420</v>
      </c>
      <c r="I662" s="2" t="e">
        <f>IF(#REF!&lt;17200,DISTÂNCIA3[[#This Row],[KM PARA PAGAMENTO DOS FRETES]]*4.74,((#REF!/17200)*4.74)*DISTÂNCIA3[[#This Row],[KM PARA PAGAMENTO DOS FRETES]])</f>
        <v>#REF!</v>
      </c>
      <c r="J662" s="4">
        <f>DISTÂNCIA3[[#This Row],[Valor CTE]]/DISTÂNCIA3[[#This Row],[KM PARA PAGAMENTO DOS FRETES]]</f>
        <v>5.1983471074380168</v>
      </c>
      <c r="K662" s="6">
        <f t="shared" si="24"/>
        <v>748.38</v>
      </c>
      <c r="L662" s="6">
        <f>0.92*DISTÂNCIA3[[#This Row],[KM distancia]]*4.578</f>
        <v>509.62296000000009</v>
      </c>
      <c r="M662" s="6">
        <f t="shared" si="25"/>
        <v>1258</v>
      </c>
    </row>
    <row r="663" spans="1:13" hidden="1" x14ac:dyDescent="0.35">
      <c r="A663">
        <f>'DASE DADOS - DISTANCIA'!A663</f>
        <v>0</v>
      </c>
      <c r="B663" t="str">
        <f>'DASE DADOS - DISTANCIA'!B663</f>
        <v>LUIZ CARLOS DOMENEGUETE</v>
      </c>
      <c r="C663" t="str">
        <f>'DASE DADOS - DISTANCIA'!C663</f>
        <v>A1</v>
      </c>
      <c r="D663" t="str">
        <f>'DASE DADOS - DISTANCIA'!E663</f>
        <v>ALTONIA</v>
      </c>
      <c r="E663" t="str">
        <f>'DASE DADOS - DISTANCIA'!I663</f>
        <v>PLUMA</v>
      </c>
      <c r="F663" s="7">
        <v>176</v>
      </c>
      <c r="G663">
        <f>'DASE DADOS - DISTANCIA'!J663</f>
        <v>352</v>
      </c>
      <c r="H663" s="2">
        <v>420</v>
      </c>
      <c r="I663" s="2" t="e">
        <f>IF(#REF!&lt;17200,DISTÂNCIA3[[#This Row],[KM PARA PAGAMENTO DOS FRETES]]*4.74,((#REF!/17200)*4.74)*DISTÂNCIA3[[#This Row],[KM PARA PAGAMENTO DOS FRETES]])</f>
        <v>#REF!</v>
      </c>
      <c r="J663" s="4">
        <f>DISTÂNCIA3[[#This Row],[Valor CTE]]/DISTÂNCIA3[[#This Row],[KM PARA PAGAMENTO DOS FRETES]]</f>
        <v>4.9472727272727273</v>
      </c>
      <c r="K663" s="6">
        <f t="shared" si="24"/>
        <v>1000.17</v>
      </c>
      <c r="L663" s="6">
        <f>0.92*DISTÂNCIA3[[#This Row],[KM distancia]]*4.578</f>
        <v>741.26976000000013</v>
      </c>
      <c r="M663" s="6">
        <f t="shared" si="25"/>
        <v>1741.44</v>
      </c>
    </row>
    <row r="664" spans="1:13" hidden="1" x14ac:dyDescent="0.35">
      <c r="A664">
        <f>'DASE DADOS - DISTANCIA'!A664</f>
        <v>0</v>
      </c>
      <c r="B664" t="str">
        <f>'DASE DADOS - DISTANCIA'!B664</f>
        <v>VALDIR IGNACIO BARBOSA</v>
      </c>
      <c r="C664" t="str">
        <f>'DASE DADOS - DISTANCIA'!C664</f>
        <v>A1</v>
      </c>
      <c r="D664" t="str">
        <f>'DASE DADOS - DISTANCIA'!E664</f>
        <v>ALTONIA</v>
      </c>
      <c r="E664" t="str">
        <f>'DASE DADOS - DISTANCIA'!I664</f>
        <v>PLUMA</v>
      </c>
      <c r="F664" s="7">
        <v>177</v>
      </c>
      <c r="G664">
        <f>'DASE DADOS - DISTANCIA'!J664</f>
        <v>354</v>
      </c>
      <c r="H664" s="2">
        <v>420</v>
      </c>
      <c r="I664" s="2" t="e">
        <f>IF(#REF!&lt;17200,DISTÂNCIA3[[#This Row],[KM PARA PAGAMENTO DOS FRETES]]*4.74,((#REF!/17200)*4.74)*DISTÂNCIA3[[#This Row],[KM PARA PAGAMENTO DOS FRETES]])</f>
        <v>#REF!</v>
      </c>
      <c r="J664" s="4">
        <f>DISTÂNCIA3[[#This Row],[Valor CTE]]/DISTÂNCIA3[[#This Row],[KM PARA PAGAMENTO DOS FRETES]]</f>
        <v>4.9441525423728816</v>
      </c>
      <c r="K664" s="6">
        <f t="shared" si="24"/>
        <v>1004.75</v>
      </c>
      <c r="L664" s="6">
        <f>0.92*DISTÂNCIA3[[#This Row],[KM distancia]]*4.578</f>
        <v>745.48152000000005</v>
      </c>
      <c r="M664" s="6">
        <f t="shared" si="25"/>
        <v>1750.23</v>
      </c>
    </row>
    <row r="665" spans="1:13" hidden="1" x14ac:dyDescent="0.35">
      <c r="A665">
        <f>'DASE DADOS - DISTANCIA'!A665</f>
        <v>0</v>
      </c>
      <c r="B665" t="str">
        <f>'DASE DADOS - DISTANCIA'!B665</f>
        <v>VALDIR IGNACIO BARBOSA</v>
      </c>
      <c r="C665" t="str">
        <f>'DASE DADOS - DISTANCIA'!C665</f>
        <v>A2</v>
      </c>
      <c r="D665" t="str">
        <f>'DASE DADOS - DISTANCIA'!E665</f>
        <v>ALTONIA</v>
      </c>
      <c r="E665" t="str">
        <f>'DASE DADOS - DISTANCIA'!I665</f>
        <v>PLUMA</v>
      </c>
      <c r="F665" s="7">
        <v>177</v>
      </c>
      <c r="G665">
        <f>'DASE DADOS - DISTANCIA'!J665</f>
        <v>354</v>
      </c>
      <c r="H665" s="2">
        <v>420</v>
      </c>
      <c r="I665" s="2" t="e">
        <f>IF(#REF!&lt;17200,DISTÂNCIA3[[#This Row],[KM PARA PAGAMENTO DOS FRETES]]*4.74,((#REF!/17200)*4.74)*DISTÂNCIA3[[#This Row],[KM PARA PAGAMENTO DOS FRETES]])</f>
        <v>#REF!</v>
      </c>
      <c r="J665" s="4">
        <f>DISTÂNCIA3[[#This Row],[Valor CTE]]/DISTÂNCIA3[[#This Row],[KM PARA PAGAMENTO DOS FRETES]]</f>
        <v>4.9441525423728816</v>
      </c>
      <c r="K665" s="6">
        <f t="shared" si="24"/>
        <v>1004.75</v>
      </c>
      <c r="L665" s="6">
        <f>0.92*DISTÂNCIA3[[#This Row],[KM distancia]]*4.578</f>
        <v>745.48152000000005</v>
      </c>
      <c r="M665" s="6">
        <f t="shared" si="25"/>
        <v>1750.23</v>
      </c>
    </row>
    <row r="666" spans="1:13" hidden="1" x14ac:dyDescent="0.35">
      <c r="A666">
        <f>'DASE DADOS - DISTANCIA'!A666</f>
        <v>0</v>
      </c>
      <c r="B666" t="str">
        <f>'DASE DADOS - DISTANCIA'!B666</f>
        <v>VALDIR IGNACIO BARBOSA</v>
      </c>
      <c r="C666" t="str">
        <f>'DASE DADOS - DISTANCIA'!C666</f>
        <v>A3</v>
      </c>
      <c r="D666" t="str">
        <f>'DASE DADOS - DISTANCIA'!E666</f>
        <v>ALTONIA</v>
      </c>
      <c r="E666" t="str">
        <f>'DASE DADOS - DISTANCIA'!I666</f>
        <v>PLUMA</v>
      </c>
      <c r="F666" s="7">
        <v>177</v>
      </c>
      <c r="G666">
        <f>'DASE DADOS - DISTANCIA'!J666</f>
        <v>354</v>
      </c>
      <c r="H666" s="2">
        <v>420</v>
      </c>
      <c r="I666" s="2" t="e">
        <f>IF(#REF!&lt;17200,DISTÂNCIA3[[#This Row],[KM PARA PAGAMENTO DOS FRETES]]*4.74,((#REF!/17200)*4.74)*DISTÂNCIA3[[#This Row],[KM PARA PAGAMENTO DOS FRETES]])</f>
        <v>#REF!</v>
      </c>
      <c r="J666" s="4">
        <f>DISTÂNCIA3[[#This Row],[Valor CTE]]/DISTÂNCIA3[[#This Row],[KM PARA PAGAMENTO DOS FRETES]]</f>
        <v>4.9441525423728816</v>
      </c>
      <c r="K666" s="6">
        <f t="shared" si="24"/>
        <v>1004.75</v>
      </c>
      <c r="L666" s="6">
        <f>0.92*DISTÂNCIA3[[#This Row],[KM distancia]]*4.578</f>
        <v>745.48152000000005</v>
      </c>
      <c r="M666" s="6">
        <f t="shared" si="25"/>
        <v>1750.23</v>
      </c>
    </row>
    <row r="667" spans="1:13" hidden="1" x14ac:dyDescent="0.35">
      <c r="A667">
        <f>'DASE DADOS - DISTANCIA'!A667</f>
        <v>0</v>
      </c>
      <c r="B667" t="str">
        <f>'DASE DADOS - DISTANCIA'!B667</f>
        <v>ROBERT JAMES MACKINNON</v>
      </c>
      <c r="C667" t="str">
        <f>'DASE DADOS - DISTANCIA'!C667</f>
        <v>A1</v>
      </c>
      <c r="D667" t="str">
        <f>'DASE DADOS - DISTANCIA'!E667</f>
        <v>ALTONIA</v>
      </c>
      <c r="E667" t="str">
        <f>'DASE DADOS - DISTANCIA'!I667</f>
        <v>PLUMA</v>
      </c>
      <c r="F667" s="7">
        <v>181</v>
      </c>
      <c r="G667">
        <f>'DASE DADOS - DISTANCIA'!J667</f>
        <v>362</v>
      </c>
      <c r="H667" s="2">
        <v>420</v>
      </c>
      <c r="I667" s="2" t="e">
        <f>IF(#REF!&lt;17200,DISTÂNCIA3[[#This Row],[KM PARA PAGAMENTO DOS FRETES]]*4.74,((#REF!/17200)*4.74)*DISTÂNCIA3[[#This Row],[KM PARA PAGAMENTO DOS FRETES]])</f>
        <v>#REF!</v>
      </c>
      <c r="J667" s="4">
        <f>DISTÂNCIA3[[#This Row],[Valor CTE]]/DISTÂNCIA3[[#This Row],[KM PARA PAGAMENTO DOS FRETES]]</f>
        <v>4.9320165745856359</v>
      </c>
      <c r="K667" s="6">
        <f t="shared" si="24"/>
        <v>1023.06</v>
      </c>
      <c r="L667" s="6">
        <f>0.92*DISTÂNCIA3[[#This Row],[KM distancia]]*4.578</f>
        <v>762.32856000000004</v>
      </c>
      <c r="M667" s="6">
        <f t="shared" si="25"/>
        <v>1785.39</v>
      </c>
    </row>
    <row r="668" spans="1:13" hidden="1" x14ac:dyDescent="0.35">
      <c r="A668">
        <f>'DASE DADOS - DISTANCIA'!A668</f>
        <v>0</v>
      </c>
      <c r="B668" t="str">
        <f>'DASE DADOS - DISTANCIA'!B668</f>
        <v>ROBERT JAMES MACKINNON</v>
      </c>
      <c r="C668" t="str">
        <f>'DASE DADOS - DISTANCIA'!C668</f>
        <v>A2</v>
      </c>
      <c r="D668" t="str">
        <f>'DASE DADOS - DISTANCIA'!E668</f>
        <v>ALTONIA</v>
      </c>
      <c r="E668" t="str">
        <f>'DASE DADOS - DISTANCIA'!I668</f>
        <v>PLUMA</v>
      </c>
      <c r="F668" s="7">
        <v>181</v>
      </c>
      <c r="G668">
        <f>'DASE DADOS - DISTANCIA'!J668</f>
        <v>362</v>
      </c>
      <c r="H668" s="2">
        <v>420</v>
      </c>
      <c r="I668" s="2" t="e">
        <f>IF(#REF!&lt;17200,DISTÂNCIA3[[#This Row],[KM PARA PAGAMENTO DOS FRETES]]*4.74,((#REF!/17200)*4.74)*DISTÂNCIA3[[#This Row],[KM PARA PAGAMENTO DOS FRETES]])</f>
        <v>#REF!</v>
      </c>
      <c r="J668" s="4">
        <f>DISTÂNCIA3[[#This Row],[Valor CTE]]/DISTÂNCIA3[[#This Row],[KM PARA PAGAMENTO DOS FRETES]]</f>
        <v>4.9320165745856359</v>
      </c>
      <c r="K668" s="6">
        <f t="shared" si="24"/>
        <v>1023.06</v>
      </c>
      <c r="L668" s="6">
        <f>0.92*DISTÂNCIA3[[#This Row],[KM distancia]]*4.578</f>
        <v>762.32856000000004</v>
      </c>
      <c r="M668" s="6">
        <f t="shared" si="25"/>
        <v>1785.39</v>
      </c>
    </row>
    <row r="669" spans="1:13" hidden="1" x14ac:dyDescent="0.35">
      <c r="A669">
        <f>'DASE DADOS - DISTANCIA'!A669</f>
        <v>0</v>
      </c>
      <c r="B669" t="str">
        <f>'DASE DADOS - DISTANCIA'!B669</f>
        <v>OSMAR GIMENEZ STRELLING</v>
      </c>
      <c r="C669" t="str">
        <f>'DASE DADOS - DISTANCIA'!C669</f>
        <v>A1</v>
      </c>
      <c r="D669" t="str">
        <f>'DASE DADOS - DISTANCIA'!E669</f>
        <v>ALTONIA</v>
      </c>
      <c r="E669" t="str">
        <f>'DASE DADOS - DISTANCIA'!I669</f>
        <v>PLUMA</v>
      </c>
      <c r="F669" s="7">
        <v>177.5</v>
      </c>
      <c r="G669">
        <f>'DASE DADOS - DISTANCIA'!J669</f>
        <v>355</v>
      </c>
      <c r="H669" s="2">
        <v>420</v>
      </c>
      <c r="I669" s="2" t="e">
        <f>IF(#REF!&lt;17200,DISTÂNCIA3[[#This Row],[KM PARA PAGAMENTO DOS FRETES]]*4.74,((#REF!/17200)*4.74)*DISTÂNCIA3[[#This Row],[KM PARA PAGAMENTO DOS FRETES]])</f>
        <v>#REF!</v>
      </c>
      <c r="J669" s="4">
        <f>DISTÂNCIA3[[#This Row],[Valor CTE]]/DISTÂNCIA3[[#This Row],[KM PARA PAGAMENTO DOS FRETES]]</f>
        <v>4.9425915492957744</v>
      </c>
      <c r="K669" s="6">
        <f t="shared" si="24"/>
        <v>1007.04</v>
      </c>
      <c r="L669" s="6">
        <f>0.92*DISTÂNCIA3[[#This Row],[KM distancia]]*4.578</f>
        <v>747.58740000000012</v>
      </c>
      <c r="M669" s="6">
        <f t="shared" si="25"/>
        <v>1754.62</v>
      </c>
    </row>
    <row r="670" spans="1:13" hidden="1" x14ac:dyDescent="0.35">
      <c r="A670">
        <f>'DASE DADOS - DISTANCIA'!A670</f>
        <v>0</v>
      </c>
      <c r="B670" t="str">
        <f>'DASE DADOS - DISTANCIA'!B670</f>
        <v>OSMAR GIMENEZ STRELLING</v>
      </c>
      <c r="C670" t="str">
        <f>'DASE DADOS - DISTANCIA'!C670</f>
        <v>A2</v>
      </c>
      <c r="D670" t="str">
        <f>'DASE DADOS - DISTANCIA'!E670</f>
        <v>ALTONIA</v>
      </c>
      <c r="E670" t="str">
        <f>'DASE DADOS - DISTANCIA'!I670</f>
        <v>PLUMA</v>
      </c>
      <c r="F670" s="7">
        <v>177.5</v>
      </c>
      <c r="G670">
        <f>'DASE DADOS - DISTANCIA'!J670</f>
        <v>355</v>
      </c>
      <c r="H670" s="2">
        <v>420</v>
      </c>
      <c r="I670" s="2" t="e">
        <f>IF(#REF!&lt;17200,DISTÂNCIA3[[#This Row],[KM PARA PAGAMENTO DOS FRETES]]*4.74,((#REF!/17200)*4.74)*DISTÂNCIA3[[#This Row],[KM PARA PAGAMENTO DOS FRETES]])</f>
        <v>#REF!</v>
      </c>
      <c r="J670" s="4">
        <f>DISTÂNCIA3[[#This Row],[Valor CTE]]/DISTÂNCIA3[[#This Row],[KM PARA PAGAMENTO DOS FRETES]]</f>
        <v>4.9425915492957744</v>
      </c>
      <c r="K670" s="6">
        <f t="shared" si="24"/>
        <v>1007.04</v>
      </c>
      <c r="L670" s="6">
        <f>0.92*DISTÂNCIA3[[#This Row],[KM distancia]]*4.578</f>
        <v>747.58740000000012</v>
      </c>
      <c r="M670" s="6">
        <f t="shared" si="25"/>
        <v>1754.62</v>
      </c>
    </row>
    <row r="671" spans="1:13" hidden="1" x14ac:dyDescent="0.35">
      <c r="A671">
        <f>'DASE DADOS - DISTANCIA'!A671</f>
        <v>0</v>
      </c>
      <c r="B671" t="str">
        <f>'DASE DADOS - DISTANCIA'!B671</f>
        <v>LEONARDO PENACHIO GIMENEZ</v>
      </c>
      <c r="C671" t="str">
        <f>'DASE DADOS - DISTANCIA'!C671</f>
        <v>A1</v>
      </c>
      <c r="D671" t="str">
        <f>'DASE DADOS - DISTANCIA'!E671</f>
        <v>ALTONIA</v>
      </c>
      <c r="E671" t="str">
        <f>'DASE DADOS - DISTANCIA'!I671</f>
        <v>PLUMA</v>
      </c>
      <c r="F671" s="7">
        <v>177.5</v>
      </c>
      <c r="G671">
        <f>'DASE DADOS - DISTANCIA'!J671</f>
        <v>355</v>
      </c>
      <c r="H671" s="2">
        <v>420</v>
      </c>
      <c r="I671" s="2" t="e">
        <f>IF(#REF!&lt;17200,DISTÂNCIA3[[#This Row],[KM PARA PAGAMENTO DOS FRETES]]*4.74,((#REF!/17200)*4.74)*DISTÂNCIA3[[#This Row],[KM PARA PAGAMENTO DOS FRETES]])</f>
        <v>#REF!</v>
      </c>
      <c r="J671" s="4">
        <f>DISTÂNCIA3[[#This Row],[Valor CTE]]/DISTÂNCIA3[[#This Row],[KM PARA PAGAMENTO DOS FRETES]]</f>
        <v>4.9425915492957744</v>
      </c>
      <c r="K671" s="6">
        <f t="shared" si="24"/>
        <v>1007.04</v>
      </c>
      <c r="L671" s="6">
        <f>0.92*DISTÂNCIA3[[#This Row],[KM distancia]]*4.578</f>
        <v>747.58740000000012</v>
      </c>
      <c r="M671" s="6">
        <f t="shared" si="25"/>
        <v>1754.62</v>
      </c>
    </row>
    <row r="672" spans="1:13" hidden="1" x14ac:dyDescent="0.35">
      <c r="A672">
        <f>'DASE DADOS - DISTANCIA'!A672</f>
        <v>0</v>
      </c>
      <c r="B672" t="str">
        <f>'DASE DADOS - DISTANCIA'!B672</f>
        <v>LEONARDO PENACHIO GIMENEZ</v>
      </c>
      <c r="C672" t="str">
        <f>'DASE DADOS - DISTANCIA'!C672</f>
        <v>A2</v>
      </c>
      <c r="D672" t="str">
        <f>'DASE DADOS - DISTANCIA'!E672</f>
        <v>ALTONIA</v>
      </c>
      <c r="E672" t="str">
        <f>'DASE DADOS - DISTANCIA'!I672</f>
        <v>PLUMA</v>
      </c>
      <c r="F672" s="7">
        <v>177.5</v>
      </c>
      <c r="G672">
        <f>'DASE DADOS - DISTANCIA'!J672</f>
        <v>355</v>
      </c>
      <c r="H672" s="2">
        <v>420</v>
      </c>
      <c r="I672" s="2" t="e">
        <f>IF(#REF!&lt;17200,DISTÂNCIA3[[#This Row],[KM PARA PAGAMENTO DOS FRETES]]*4.74,((#REF!/17200)*4.74)*DISTÂNCIA3[[#This Row],[KM PARA PAGAMENTO DOS FRETES]])</f>
        <v>#REF!</v>
      </c>
      <c r="J672" s="4">
        <f>DISTÂNCIA3[[#This Row],[Valor CTE]]/DISTÂNCIA3[[#This Row],[KM PARA PAGAMENTO DOS FRETES]]</f>
        <v>4.9425915492957744</v>
      </c>
      <c r="K672" s="6">
        <f t="shared" si="24"/>
        <v>1007.04</v>
      </c>
      <c r="L672" s="6">
        <f>0.92*DISTÂNCIA3[[#This Row],[KM distancia]]*4.578</f>
        <v>747.58740000000012</v>
      </c>
      <c r="M672" s="6">
        <f t="shared" si="25"/>
        <v>1754.62</v>
      </c>
    </row>
    <row r="673" spans="1:13" hidden="1" x14ac:dyDescent="0.35">
      <c r="A673">
        <f>'DASE DADOS - DISTANCIA'!A673</f>
        <v>0</v>
      </c>
      <c r="B673" t="str">
        <f>'DASE DADOS - DISTANCIA'!B673</f>
        <v>EDINALDO CAMPANHOLI</v>
      </c>
      <c r="C673" t="str">
        <f>'DASE DADOS - DISTANCIA'!C673</f>
        <v>A1</v>
      </c>
      <c r="D673" t="str">
        <f>'DASE DADOS - DISTANCIA'!E673</f>
        <v>ALTONIA</v>
      </c>
      <c r="E673" t="str">
        <f>'DASE DADOS - DISTANCIA'!I673</f>
        <v>PLUMA</v>
      </c>
      <c r="F673" s="7">
        <v>177.5</v>
      </c>
      <c r="G673">
        <f>'DASE DADOS - DISTANCIA'!J673</f>
        <v>355</v>
      </c>
      <c r="H673" s="2">
        <v>420</v>
      </c>
      <c r="I673" s="2" t="e">
        <f>IF(#REF!&lt;17200,DISTÂNCIA3[[#This Row],[KM PARA PAGAMENTO DOS FRETES]]*4.74,((#REF!/17200)*4.74)*DISTÂNCIA3[[#This Row],[KM PARA PAGAMENTO DOS FRETES]])</f>
        <v>#REF!</v>
      </c>
      <c r="J673" s="4">
        <f>DISTÂNCIA3[[#This Row],[Valor CTE]]/DISTÂNCIA3[[#This Row],[KM PARA PAGAMENTO DOS FRETES]]</f>
        <v>4.9425915492957744</v>
      </c>
      <c r="K673" s="6">
        <f t="shared" si="24"/>
        <v>1007.04</v>
      </c>
      <c r="L673" s="6">
        <f>0.92*DISTÂNCIA3[[#This Row],[KM distancia]]*4.578</f>
        <v>747.58740000000012</v>
      </c>
      <c r="M673" s="6">
        <f t="shared" si="25"/>
        <v>1754.62</v>
      </c>
    </row>
    <row r="674" spans="1:13" hidden="1" x14ac:dyDescent="0.35">
      <c r="A674">
        <f>'DASE DADOS - DISTANCIA'!A674</f>
        <v>0</v>
      </c>
      <c r="B674" t="str">
        <f>'DASE DADOS - DISTANCIA'!B674</f>
        <v>ERIC FERNANDO COSTENARO</v>
      </c>
      <c r="C674" t="str">
        <f>'DASE DADOS - DISTANCIA'!C674</f>
        <v>A1</v>
      </c>
      <c r="D674" t="str">
        <f>'DASE DADOS - DISTANCIA'!E674</f>
        <v>ALTONIA</v>
      </c>
      <c r="E674" t="str">
        <f>'DASE DADOS - DISTANCIA'!I674</f>
        <v>PLUMA</v>
      </c>
      <c r="F674" s="7">
        <v>180</v>
      </c>
      <c r="G674">
        <f>'DASE DADOS - DISTANCIA'!J674</f>
        <v>360</v>
      </c>
      <c r="H674" s="2">
        <v>420</v>
      </c>
      <c r="I674" s="2" t="e">
        <f>IF(#REF!&lt;17200,DISTÂNCIA3[[#This Row],[KM PARA PAGAMENTO DOS FRETES]]*4.74,((#REF!/17200)*4.74)*DISTÂNCIA3[[#This Row],[KM PARA PAGAMENTO DOS FRETES]])</f>
        <v>#REF!</v>
      </c>
      <c r="J674" s="4">
        <f>DISTÂNCIA3[[#This Row],[Valor CTE]]/DISTÂNCIA3[[#This Row],[KM PARA PAGAMENTO DOS FRETES]]</f>
        <v>4.9349999999999996</v>
      </c>
      <c r="K674" s="6">
        <f t="shared" si="24"/>
        <v>1018.48</v>
      </c>
      <c r="L674" s="6">
        <f>0.92*DISTÂNCIA3[[#This Row],[KM distancia]]*4.578</f>
        <v>758.11680000000001</v>
      </c>
      <c r="M674" s="6">
        <f t="shared" si="25"/>
        <v>1776.6</v>
      </c>
    </row>
    <row r="675" spans="1:13" hidden="1" x14ac:dyDescent="0.35">
      <c r="A675">
        <f>'DASE DADOS - DISTANCIA'!A675</f>
        <v>0</v>
      </c>
      <c r="B675" t="str">
        <f>'DASE DADOS - DISTANCIA'!B675</f>
        <v>ADEMIR COSTENARO</v>
      </c>
      <c r="C675" t="str">
        <f>'DASE DADOS - DISTANCIA'!C675</f>
        <v>A1</v>
      </c>
      <c r="D675" t="str">
        <f>'DASE DADOS - DISTANCIA'!E675</f>
        <v>ALTONIA</v>
      </c>
      <c r="E675" t="str">
        <f>'DASE DADOS - DISTANCIA'!I675</f>
        <v>PLUMA</v>
      </c>
      <c r="F675" s="7">
        <v>180</v>
      </c>
      <c r="G675">
        <f>'DASE DADOS - DISTANCIA'!J675</f>
        <v>360</v>
      </c>
      <c r="H675" s="2">
        <v>420</v>
      </c>
      <c r="I675" s="2" t="e">
        <f>IF(#REF!&lt;17200,DISTÂNCIA3[[#This Row],[KM PARA PAGAMENTO DOS FRETES]]*4.74,((#REF!/17200)*4.74)*DISTÂNCIA3[[#This Row],[KM PARA PAGAMENTO DOS FRETES]])</f>
        <v>#REF!</v>
      </c>
      <c r="J675" s="4">
        <f>DISTÂNCIA3[[#This Row],[Valor CTE]]/DISTÂNCIA3[[#This Row],[KM PARA PAGAMENTO DOS FRETES]]</f>
        <v>4.9349999999999996</v>
      </c>
      <c r="K675" s="6">
        <f t="shared" si="24"/>
        <v>1018.48</v>
      </c>
      <c r="L675" s="6">
        <f>0.92*DISTÂNCIA3[[#This Row],[KM distancia]]*4.578</f>
        <v>758.11680000000001</v>
      </c>
      <c r="M675" s="6">
        <f t="shared" si="25"/>
        <v>1776.6</v>
      </c>
    </row>
    <row r="676" spans="1:13" hidden="1" x14ac:dyDescent="0.35">
      <c r="A676">
        <f>'DASE DADOS - DISTANCIA'!A696</f>
        <v>6553141</v>
      </c>
      <c r="B676" t="str">
        <f>'DASE DADOS - DISTANCIA'!B696</f>
        <v>JESSICA RICCI CANDIDO</v>
      </c>
      <c r="C676" t="str">
        <f>'DASE DADOS - DISTANCIA'!C696</f>
        <v>A1</v>
      </c>
      <c r="D676" t="str">
        <f>'DASE DADOS - DISTANCIA'!E696</f>
        <v>ASSIS CHATEAUBRIAND</v>
      </c>
      <c r="E676" t="str">
        <f>'DASE DADOS - DISTANCIA'!I696</f>
        <v>PLUMA</v>
      </c>
      <c r="F676" s="7">
        <v>97</v>
      </c>
      <c r="G676">
        <f>'DASE DADOS - DISTANCIA'!J696</f>
        <v>194</v>
      </c>
      <c r="H676" s="2">
        <v>420</v>
      </c>
      <c r="I676" s="2" t="e">
        <f>IF(#REF!&lt;17200,DISTÂNCIA3[[#This Row],[KM PARA PAGAMENTO DOS FRETES]]*4.74,((#REF!/17200)*4.74)*DISTÂNCIA3[[#This Row],[KM PARA PAGAMENTO DOS FRETES]])</f>
        <v>#REF!</v>
      </c>
      <c r="J676" s="4">
        <f>DISTÂNCIA3[[#This Row],[Valor CTE]]/DISTÂNCIA3[[#This Row],[KM PARA PAGAMENTO DOS FRETES]]</f>
        <v>5.3971649484536082</v>
      </c>
      <c r="K676" s="6">
        <f t="shared" si="24"/>
        <v>638.51</v>
      </c>
      <c r="L676" s="6">
        <f>0.92*DISTÂNCIA3[[#This Row],[KM distancia]]*4.578</f>
        <v>408.54072000000008</v>
      </c>
      <c r="M676" s="6">
        <f t="shared" si="25"/>
        <v>1047.05</v>
      </c>
    </row>
    <row r="677" spans="1:13" hidden="1" x14ac:dyDescent="0.35">
      <c r="A677">
        <f>'DASE DADOS - DISTANCIA'!A697</f>
        <v>6553141</v>
      </c>
      <c r="B677" t="str">
        <f>'DASE DADOS - DISTANCIA'!B697</f>
        <v>JESSICA RICCI CANDIDO</v>
      </c>
      <c r="C677" t="str">
        <f>'DASE DADOS - DISTANCIA'!C697</f>
        <v>A2</v>
      </c>
      <c r="D677" t="str">
        <f>'DASE DADOS - DISTANCIA'!E697</f>
        <v>ASSIS CHATEAUBRIAND</v>
      </c>
      <c r="E677" t="str">
        <f>'DASE DADOS - DISTANCIA'!I697</f>
        <v>PLUMA</v>
      </c>
      <c r="F677" s="7">
        <v>97</v>
      </c>
      <c r="G677">
        <f>'DASE DADOS - DISTANCIA'!J697</f>
        <v>194</v>
      </c>
      <c r="H677" s="2">
        <v>420</v>
      </c>
      <c r="I677" s="2" t="e">
        <f>IF(#REF!&lt;17200,DISTÂNCIA3[[#This Row],[KM PARA PAGAMENTO DOS FRETES]]*4.74,((#REF!/17200)*4.74)*DISTÂNCIA3[[#This Row],[KM PARA PAGAMENTO DOS FRETES]])</f>
        <v>#REF!</v>
      </c>
      <c r="J677" s="4">
        <f>DISTÂNCIA3[[#This Row],[Valor CTE]]/DISTÂNCIA3[[#This Row],[KM PARA PAGAMENTO DOS FRETES]]</f>
        <v>5.3971649484536082</v>
      </c>
      <c r="K677" s="6">
        <f t="shared" si="24"/>
        <v>638.51</v>
      </c>
      <c r="L677" s="6">
        <f>0.92*DISTÂNCIA3[[#This Row],[KM distancia]]*4.578</f>
        <v>408.54072000000008</v>
      </c>
      <c r="M677" s="6">
        <f t="shared" si="25"/>
        <v>1047.05</v>
      </c>
    </row>
    <row r="678" spans="1:13" hidden="1" x14ac:dyDescent="0.35">
      <c r="A678">
        <f>'DASE DADOS - DISTANCIA'!A698</f>
        <v>6553141</v>
      </c>
      <c r="B678" t="str">
        <f>'DASE DADOS - DISTANCIA'!B698</f>
        <v>JESSICA RICCI CANDIDO</v>
      </c>
      <c r="C678" t="str">
        <f>'DASE DADOS - DISTANCIA'!C698</f>
        <v>A3</v>
      </c>
      <c r="D678" t="str">
        <f>'DASE DADOS - DISTANCIA'!E698</f>
        <v>ASSIS CHATEAUBRIAND</v>
      </c>
      <c r="E678" t="str">
        <f>'DASE DADOS - DISTANCIA'!I698</f>
        <v>PLUMA</v>
      </c>
      <c r="F678" s="7">
        <v>97</v>
      </c>
      <c r="G678">
        <f>'DASE DADOS - DISTANCIA'!J698</f>
        <v>194</v>
      </c>
      <c r="H678" s="2">
        <v>420</v>
      </c>
      <c r="I678" s="2" t="e">
        <f>IF(#REF!&lt;17200,DISTÂNCIA3[[#This Row],[KM PARA PAGAMENTO DOS FRETES]]*4.74,((#REF!/17200)*4.74)*DISTÂNCIA3[[#This Row],[KM PARA PAGAMENTO DOS FRETES]])</f>
        <v>#REF!</v>
      </c>
      <c r="J678" s="4">
        <f>DISTÂNCIA3[[#This Row],[Valor CTE]]/DISTÂNCIA3[[#This Row],[KM PARA PAGAMENTO DOS FRETES]]</f>
        <v>5.3971649484536082</v>
      </c>
      <c r="K678" s="6">
        <f t="shared" si="24"/>
        <v>638.51</v>
      </c>
      <c r="L678" s="6">
        <f>0.92*DISTÂNCIA3[[#This Row],[KM distancia]]*4.578</f>
        <v>408.54072000000008</v>
      </c>
      <c r="M678" s="6">
        <f t="shared" si="25"/>
        <v>1047.05</v>
      </c>
    </row>
    <row r="679" spans="1:13" hidden="1" x14ac:dyDescent="0.35">
      <c r="A679">
        <f>'DASE DADOS - DISTANCIA'!A699</f>
        <v>4414799</v>
      </c>
      <c r="B679" t="str">
        <f>'DASE DADOS - DISTANCIA'!B699</f>
        <v>OSMAR SCHENEIDER</v>
      </c>
      <c r="C679" t="str">
        <f>'DASE DADOS - DISTANCIA'!C699</f>
        <v>A1</v>
      </c>
      <c r="D679" t="str">
        <f>'DASE DADOS - DISTANCIA'!E699</f>
        <v>TOLEDO</v>
      </c>
      <c r="E679" t="str">
        <f>'DASE DADOS - DISTANCIA'!I699</f>
        <v>PLUMA</v>
      </c>
      <c r="F679" s="7">
        <v>73.5</v>
      </c>
      <c r="G679">
        <f>'DASE DADOS - DISTANCIA'!J699</f>
        <v>147</v>
      </c>
      <c r="H679" s="2">
        <v>420</v>
      </c>
      <c r="I679" s="2" t="e">
        <f>IF(#REF!&lt;17200,DISTÂNCIA3[[#This Row],[KM PARA PAGAMENTO DOS FRETES]]*4.74,((#REF!/17200)*4.74)*DISTÂNCIA3[[#This Row],[KM PARA PAGAMENTO DOS FRETES]])</f>
        <v>#REF!</v>
      </c>
      <c r="J679" s="4">
        <f>DISTÂNCIA3[[#This Row],[Valor CTE]]/DISTÂNCIA3[[#This Row],[KM PARA PAGAMENTO DOS FRETES]]</f>
        <v>5.7176190476190474</v>
      </c>
      <c r="K679" s="6">
        <f t="shared" si="24"/>
        <v>530.91999999999996</v>
      </c>
      <c r="L679" s="6">
        <f>0.92*DISTÂNCIA3[[#This Row],[KM distancia]]*4.578</f>
        <v>309.56436000000002</v>
      </c>
      <c r="M679" s="6">
        <f t="shared" si="25"/>
        <v>840.49</v>
      </c>
    </row>
    <row r="680" spans="1:13" hidden="1" x14ac:dyDescent="0.35">
      <c r="A680">
        <f>'DASE DADOS - DISTANCIA'!A700</f>
        <v>4414799</v>
      </c>
      <c r="B680" t="str">
        <f>'DASE DADOS - DISTANCIA'!B700</f>
        <v>OSMAR SCHENEIDER</v>
      </c>
      <c r="C680" t="str">
        <f>'DASE DADOS - DISTANCIA'!C700</f>
        <v>A2</v>
      </c>
      <c r="D680" t="str">
        <f>'DASE DADOS - DISTANCIA'!E700</f>
        <v>TOLEDO</v>
      </c>
      <c r="E680" t="str">
        <f>'DASE DADOS - DISTANCIA'!I700</f>
        <v>PLUMA</v>
      </c>
      <c r="F680" s="7">
        <v>73.5</v>
      </c>
      <c r="G680">
        <f>'DASE DADOS - DISTANCIA'!J700</f>
        <v>147</v>
      </c>
      <c r="H680" s="2">
        <v>420</v>
      </c>
      <c r="I680" s="2" t="e">
        <f>IF(#REF!&lt;17200,DISTÂNCIA3[[#This Row],[KM PARA PAGAMENTO DOS FRETES]]*4.74,((#REF!/17200)*4.74)*DISTÂNCIA3[[#This Row],[KM PARA PAGAMENTO DOS FRETES]])</f>
        <v>#REF!</v>
      </c>
      <c r="J680" s="4">
        <f>DISTÂNCIA3[[#This Row],[Valor CTE]]/DISTÂNCIA3[[#This Row],[KM PARA PAGAMENTO DOS FRETES]]</f>
        <v>5.7176190476190474</v>
      </c>
      <c r="K680" s="6">
        <f t="shared" si="24"/>
        <v>530.91999999999996</v>
      </c>
      <c r="L680" s="6">
        <f>0.92*DISTÂNCIA3[[#This Row],[KM distancia]]*4.578</f>
        <v>309.56436000000002</v>
      </c>
      <c r="M680" s="6">
        <f t="shared" si="25"/>
        <v>840.49</v>
      </c>
    </row>
    <row r="681" spans="1:13" hidden="1" x14ac:dyDescent="0.35">
      <c r="A681">
        <f>'DASE DADOS - DISTANCIA'!A701</f>
        <v>4414799</v>
      </c>
      <c r="B681" t="str">
        <f>'DASE DADOS - DISTANCIA'!B701</f>
        <v>OSMAR SCHENEIDER</v>
      </c>
      <c r="C681" t="str">
        <f>'DASE DADOS - DISTANCIA'!C701</f>
        <v>A3</v>
      </c>
      <c r="D681" t="str">
        <f>'DASE DADOS - DISTANCIA'!E701</f>
        <v>TOLEDO</v>
      </c>
      <c r="E681" t="str">
        <f>'DASE DADOS - DISTANCIA'!I701</f>
        <v>PLUMA</v>
      </c>
      <c r="F681" s="7">
        <v>73.5</v>
      </c>
      <c r="G681">
        <f>'DASE DADOS - DISTANCIA'!J701</f>
        <v>147</v>
      </c>
      <c r="H681" s="2">
        <v>420</v>
      </c>
      <c r="I681" s="2" t="e">
        <f>IF(#REF!&lt;17200,DISTÂNCIA3[[#This Row],[KM PARA PAGAMENTO DOS FRETES]]*4.74,((#REF!/17200)*4.74)*DISTÂNCIA3[[#This Row],[KM PARA PAGAMENTO DOS FRETES]])</f>
        <v>#REF!</v>
      </c>
      <c r="J681" s="4">
        <f>DISTÂNCIA3[[#This Row],[Valor CTE]]/DISTÂNCIA3[[#This Row],[KM PARA PAGAMENTO DOS FRETES]]</f>
        <v>5.7176190476190474</v>
      </c>
      <c r="K681" s="6">
        <f t="shared" si="24"/>
        <v>530.91999999999996</v>
      </c>
      <c r="L681" s="6">
        <f>0.92*DISTÂNCIA3[[#This Row],[KM distancia]]*4.578</f>
        <v>309.56436000000002</v>
      </c>
      <c r="M681" s="6">
        <f t="shared" si="25"/>
        <v>840.49</v>
      </c>
    </row>
    <row r="682" spans="1:13" hidden="1" x14ac:dyDescent="0.35">
      <c r="A682">
        <f>'DASE DADOS - DISTANCIA'!A702</f>
        <v>5364663</v>
      </c>
      <c r="B682" t="str">
        <f>'DASE DADOS - DISTANCIA'!B702</f>
        <v>SERGIO DEPIERI</v>
      </c>
      <c r="C682" t="str">
        <f>'DASE DADOS - DISTANCIA'!C702</f>
        <v>A1</v>
      </c>
      <c r="D682" t="str">
        <f>'DASE DADOS - DISTANCIA'!E702</f>
        <v>TUPASSI</v>
      </c>
      <c r="E682" t="str">
        <f>'DASE DADOS - DISTANCIA'!I702</f>
        <v>PLUMA</v>
      </c>
      <c r="F682" s="7">
        <v>62.5</v>
      </c>
      <c r="G682">
        <f>'DASE DADOS - DISTANCIA'!J702</f>
        <v>125</v>
      </c>
      <c r="H682" s="2">
        <v>420</v>
      </c>
      <c r="I682" s="2" t="e">
        <f>IF(#REF!&lt;17200,DISTÂNCIA3[[#This Row],[KM PARA PAGAMENTO DOS FRETES]]*4.74,((#REF!/17200)*4.74)*DISTÂNCIA3[[#This Row],[KM PARA PAGAMENTO DOS FRETES]])</f>
        <v>#REF!</v>
      </c>
      <c r="J682" s="4">
        <f>DISTÂNCIA3[[#This Row],[Valor CTE]]/DISTÂNCIA3[[#This Row],[KM PARA PAGAMENTO DOS FRETES]]</f>
        <v>5.9503999999999992</v>
      </c>
      <c r="K682" s="6">
        <f t="shared" si="24"/>
        <v>480.57</v>
      </c>
      <c r="L682" s="6">
        <f>0.92*DISTÂNCIA3[[#This Row],[KM distancia]]*4.578</f>
        <v>263.23500000000001</v>
      </c>
      <c r="M682" s="6">
        <f t="shared" si="25"/>
        <v>743.8</v>
      </c>
    </row>
    <row r="683" spans="1:13" hidden="1" x14ac:dyDescent="0.35">
      <c r="A683">
        <f>'DASE DADOS - DISTANCIA'!A703</f>
        <v>5364663</v>
      </c>
      <c r="B683" t="str">
        <f>'DASE DADOS - DISTANCIA'!B703</f>
        <v>SERGIO DEPIERI</v>
      </c>
      <c r="C683" t="str">
        <f>'DASE DADOS - DISTANCIA'!C703</f>
        <v>A2</v>
      </c>
      <c r="D683" t="str">
        <f>'DASE DADOS - DISTANCIA'!E703</f>
        <v>TUPASSI</v>
      </c>
      <c r="E683" t="str">
        <f>'DASE DADOS - DISTANCIA'!I703</f>
        <v>PLUMA</v>
      </c>
      <c r="F683" s="7">
        <v>62.5</v>
      </c>
      <c r="G683">
        <f>'DASE DADOS - DISTANCIA'!J703</f>
        <v>125</v>
      </c>
      <c r="H683" s="2">
        <v>420</v>
      </c>
      <c r="I683" s="2" t="e">
        <f>IF(#REF!&lt;17200,DISTÂNCIA3[[#This Row],[KM PARA PAGAMENTO DOS FRETES]]*4.74,((#REF!/17200)*4.74)*DISTÂNCIA3[[#This Row],[KM PARA PAGAMENTO DOS FRETES]])</f>
        <v>#REF!</v>
      </c>
      <c r="J683" s="4">
        <f>DISTÂNCIA3[[#This Row],[Valor CTE]]/DISTÂNCIA3[[#This Row],[KM PARA PAGAMENTO DOS FRETES]]</f>
        <v>5.9503999999999992</v>
      </c>
      <c r="K683" s="6">
        <f t="shared" si="24"/>
        <v>480.57</v>
      </c>
      <c r="L683" s="6">
        <f>0.92*DISTÂNCIA3[[#This Row],[KM distancia]]*4.578</f>
        <v>263.23500000000001</v>
      </c>
      <c r="M683" s="6">
        <f t="shared" si="25"/>
        <v>743.8</v>
      </c>
    </row>
    <row r="684" spans="1:13" hidden="1" x14ac:dyDescent="0.35">
      <c r="A684">
        <f>'DASE DADOS - DISTANCIA'!A704</f>
        <v>1268104</v>
      </c>
      <c r="B684" t="str">
        <f>'DASE DADOS - DISTANCIA'!B704</f>
        <v>DANIELA CRISTINA LEVANDOSKI</v>
      </c>
      <c r="C684" t="str">
        <f>'DASE DADOS - DISTANCIA'!C704</f>
        <v>A1</v>
      </c>
      <c r="D684" t="str">
        <f>'DASE DADOS - DISTANCIA'!E704</f>
        <v>BELA VISTA DA CAROBA</v>
      </c>
      <c r="E684" t="str">
        <f>'DASE DADOS - DISTANCIA'!I704</f>
        <v>PLUSVAL</v>
      </c>
      <c r="F684" s="7">
        <v>131</v>
      </c>
      <c r="G684">
        <f>'DASE DADOS - DISTANCIA'!J704</f>
        <v>262</v>
      </c>
      <c r="H684" s="2">
        <v>420</v>
      </c>
      <c r="I684" s="2" t="e">
        <f>IF(#REF!&lt;17200,DISTÂNCIA3[[#This Row],[KM PARA PAGAMENTO DOS FRETES]]*4.74,((#REF!/17200)*4.74)*DISTÂNCIA3[[#This Row],[KM PARA PAGAMENTO DOS FRETES]])</f>
        <v>#REF!</v>
      </c>
      <c r="J684" s="4">
        <f>DISTÂNCIA3[[#This Row],[Valor CTE]]/DISTÂNCIA3[[#This Row],[KM PARA PAGAMENTO DOS FRETES]]</f>
        <v>5.137022900763359</v>
      </c>
      <c r="K684" s="6">
        <f t="shared" si="24"/>
        <v>794.16</v>
      </c>
      <c r="L684" s="6">
        <f>0.92*DISTÂNCIA3[[#This Row],[KM distancia]]*4.578</f>
        <v>551.74056000000007</v>
      </c>
      <c r="M684" s="6">
        <f t="shared" si="25"/>
        <v>1345.9</v>
      </c>
    </row>
    <row r="685" spans="1:13" hidden="1" x14ac:dyDescent="0.35">
      <c r="A685">
        <f>'DASE DADOS - DISTANCIA'!A705</f>
        <v>341207</v>
      </c>
      <c r="B685" t="str">
        <f>'DASE DADOS - DISTANCIA'!B705</f>
        <v>MILTON CESAR ARRUDA</v>
      </c>
      <c r="C685" t="str">
        <f>'DASE DADOS - DISTANCIA'!C705</f>
        <v>A1</v>
      </c>
      <c r="D685" t="str">
        <f>'DASE DADOS - DISTANCIA'!E705</f>
        <v>ENTRE RIOS DO OESTE</v>
      </c>
      <c r="E685" t="str">
        <f>'DASE DADOS - DISTANCIA'!I705</f>
        <v>PLUMA</v>
      </c>
      <c r="F685" s="7">
        <v>134</v>
      </c>
      <c r="G685">
        <f>'DASE DADOS - DISTANCIA'!J705</f>
        <v>268</v>
      </c>
      <c r="H685" s="2">
        <v>420</v>
      </c>
      <c r="I685" s="2" t="e">
        <f>IF(#REF!&lt;17200,DISTÂNCIA3[[#This Row],[KM PARA PAGAMENTO DOS FRETES]]*4.74,((#REF!/17200)*4.74)*DISTÂNCIA3[[#This Row],[KM PARA PAGAMENTO DOS FRETES]])</f>
        <v>#REF!</v>
      </c>
      <c r="J685" s="4">
        <f>DISTÂNCIA3[[#This Row],[Valor CTE]]/DISTÂNCIA3[[#This Row],[KM PARA PAGAMENTO DOS FRETES]]</f>
        <v>5.120410447761194</v>
      </c>
      <c r="K685" s="6">
        <f t="shared" si="24"/>
        <v>807.89</v>
      </c>
      <c r="L685" s="6">
        <f>0.92*DISTÂNCIA3[[#This Row],[KM distancia]]*4.578</f>
        <v>564.37584000000004</v>
      </c>
      <c r="M685" s="6">
        <f t="shared" si="25"/>
        <v>1372.27</v>
      </c>
    </row>
    <row r="686" spans="1:13" hidden="1" x14ac:dyDescent="0.35">
      <c r="A686">
        <f>'DASE DADOS - DISTANCIA'!A706</f>
        <v>341207</v>
      </c>
      <c r="B686" t="str">
        <f>'DASE DADOS - DISTANCIA'!B706</f>
        <v>MILTON CESAR ARRUDA</v>
      </c>
      <c r="C686" t="str">
        <f>'DASE DADOS - DISTANCIA'!C706</f>
        <v>A2</v>
      </c>
      <c r="D686" t="str">
        <f>'DASE DADOS - DISTANCIA'!E706</f>
        <v>ENTRE RIOS DO OESTE</v>
      </c>
      <c r="E686" t="str">
        <f>'DASE DADOS - DISTANCIA'!I706</f>
        <v>PLUMA</v>
      </c>
      <c r="F686" s="7">
        <v>134</v>
      </c>
      <c r="G686">
        <f>'DASE DADOS - DISTANCIA'!J706</f>
        <v>268</v>
      </c>
      <c r="H686" s="2">
        <v>420</v>
      </c>
      <c r="I686" s="2" t="e">
        <f>IF(#REF!&lt;17200,DISTÂNCIA3[[#This Row],[KM PARA PAGAMENTO DOS FRETES]]*4.74,((#REF!/17200)*4.74)*DISTÂNCIA3[[#This Row],[KM PARA PAGAMENTO DOS FRETES]])</f>
        <v>#REF!</v>
      </c>
      <c r="J686" s="4">
        <f>DISTÂNCIA3[[#This Row],[Valor CTE]]/DISTÂNCIA3[[#This Row],[KM PARA PAGAMENTO DOS FRETES]]</f>
        <v>5.120410447761194</v>
      </c>
      <c r="K686" s="6">
        <f t="shared" si="24"/>
        <v>807.89</v>
      </c>
      <c r="L686" s="6">
        <f>0.92*DISTÂNCIA3[[#This Row],[KM distancia]]*4.578</f>
        <v>564.37584000000004</v>
      </c>
      <c r="M686" s="6">
        <f t="shared" si="25"/>
        <v>1372.27</v>
      </c>
    </row>
    <row r="687" spans="1:13" hidden="1" x14ac:dyDescent="0.35">
      <c r="A687">
        <f>'DASE DADOS - DISTANCIA'!A707</f>
        <v>341207</v>
      </c>
      <c r="B687" t="str">
        <f>'DASE DADOS - DISTANCIA'!B707</f>
        <v>MILTON CESAR ARRUDA</v>
      </c>
      <c r="C687" t="str">
        <f>'DASE DADOS - DISTANCIA'!C707</f>
        <v>A3</v>
      </c>
      <c r="D687" t="str">
        <f>'DASE DADOS - DISTANCIA'!E707</f>
        <v>ENTRE RIOS DO OESTE</v>
      </c>
      <c r="E687" t="str">
        <f>'DASE DADOS - DISTANCIA'!I707</f>
        <v>PLUMA</v>
      </c>
      <c r="F687" s="7">
        <v>134</v>
      </c>
      <c r="G687">
        <f>'DASE DADOS - DISTANCIA'!J707</f>
        <v>268</v>
      </c>
      <c r="H687" s="2">
        <v>420</v>
      </c>
      <c r="I687" s="2" t="e">
        <f>IF(#REF!&lt;17200,DISTÂNCIA3[[#This Row],[KM PARA PAGAMENTO DOS FRETES]]*4.74,((#REF!/17200)*4.74)*DISTÂNCIA3[[#This Row],[KM PARA PAGAMENTO DOS FRETES]])</f>
        <v>#REF!</v>
      </c>
      <c r="J687" s="4">
        <f>DISTÂNCIA3[[#This Row],[Valor CTE]]/DISTÂNCIA3[[#This Row],[KM PARA PAGAMENTO DOS FRETES]]</f>
        <v>5.120410447761194</v>
      </c>
      <c r="K687" s="6">
        <f t="shared" si="24"/>
        <v>807.89</v>
      </c>
      <c r="L687" s="6">
        <f>0.92*DISTÂNCIA3[[#This Row],[KM distancia]]*4.578</f>
        <v>564.37584000000004</v>
      </c>
      <c r="M687" s="6">
        <f t="shared" si="25"/>
        <v>1372.27</v>
      </c>
    </row>
    <row r="688" spans="1:13" hidden="1" x14ac:dyDescent="0.35">
      <c r="A688">
        <f>'DASE DADOS - DISTANCIA'!A708</f>
        <v>341207</v>
      </c>
      <c r="B688" t="str">
        <f>'DASE DADOS - DISTANCIA'!B708</f>
        <v>MILTON CESAR ARRUDA</v>
      </c>
      <c r="C688" t="str">
        <f>'DASE DADOS - DISTANCIA'!C708</f>
        <v>A4</v>
      </c>
      <c r="D688" t="str">
        <f>'DASE DADOS - DISTANCIA'!E708</f>
        <v>ENTRE RIOS DO OESTE</v>
      </c>
      <c r="E688" t="str">
        <f>'DASE DADOS - DISTANCIA'!I708</f>
        <v>PLUMA</v>
      </c>
      <c r="F688" s="7">
        <v>134</v>
      </c>
      <c r="G688">
        <f>'DASE DADOS - DISTANCIA'!J708</f>
        <v>268</v>
      </c>
      <c r="H688" s="2">
        <v>420</v>
      </c>
      <c r="I688" s="2" t="e">
        <f>IF(#REF!&lt;17200,DISTÂNCIA3[[#This Row],[KM PARA PAGAMENTO DOS FRETES]]*4.74,((#REF!/17200)*4.74)*DISTÂNCIA3[[#This Row],[KM PARA PAGAMENTO DOS FRETES]])</f>
        <v>#REF!</v>
      </c>
      <c r="J688" s="4">
        <f>DISTÂNCIA3[[#This Row],[Valor CTE]]/DISTÂNCIA3[[#This Row],[KM PARA PAGAMENTO DOS FRETES]]</f>
        <v>5.120410447761194</v>
      </c>
      <c r="K688" s="6">
        <f t="shared" si="24"/>
        <v>807.89</v>
      </c>
      <c r="L688" s="6">
        <f>0.92*DISTÂNCIA3[[#This Row],[KM distancia]]*4.578</f>
        <v>564.37584000000004</v>
      </c>
      <c r="M688" s="6">
        <f t="shared" si="25"/>
        <v>1372.27</v>
      </c>
    </row>
    <row r="689" spans="1:13" hidden="1" x14ac:dyDescent="0.35">
      <c r="A689">
        <f>'DASE DADOS - DISTANCIA'!A709</f>
        <v>341207</v>
      </c>
      <c r="B689" t="str">
        <f>'DASE DADOS - DISTANCIA'!B709</f>
        <v>MILTON CESAR ARRUDA</v>
      </c>
      <c r="C689" t="str">
        <f>'DASE DADOS - DISTANCIA'!C709</f>
        <v>A5</v>
      </c>
      <c r="D689" t="str">
        <f>'DASE DADOS - DISTANCIA'!E709</f>
        <v>ENTRE RIOS DO OESTE</v>
      </c>
      <c r="E689" t="str">
        <f>'DASE DADOS - DISTANCIA'!I709</f>
        <v>PLUMA</v>
      </c>
      <c r="F689" s="7">
        <v>134</v>
      </c>
      <c r="G689">
        <f>'DASE DADOS - DISTANCIA'!J709</f>
        <v>268</v>
      </c>
      <c r="H689" s="2">
        <v>420</v>
      </c>
      <c r="I689" s="2" t="e">
        <f>IF(#REF!&lt;17200,DISTÂNCIA3[[#This Row],[KM PARA PAGAMENTO DOS FRETES]]*4.74,((#REF!/17200)*4.74)*DISTÂNCIA3[[#This Row],[KM PARA PAGAMENTO DOS FRETES]])</f>
        <v>#REF!</v>
      </c>
      <c r="J689" s="4">
        <f>DISTÂNCIA3[[#This Row],[Valor CTE]]/DISTÂNCIA3[[#This Row],[KM PARA PAGAMENTO DOS FRETES]]</f>
        <v>5.120410447761194</v>
      </c>
      <c r="K689" s="6">
        <f t="shared" si="24"/>
        <v>807.89</v>
      </c>
      <c r="L689" s="6">
        <f>0.92*DISTÂNCIA3[[#This Row],[KM distancia]]*4.578</f>
        <v>564.37584000000004</v>
      </c>
      <c r="M689" s="6">
        <f t="shared" si="25"/>
        <v>1372.27</v>
      </c>
    </row>
    <row r="690" spans="1:13" hidden="1" x14ac:dyDescent="0.35">
      <c r="A690">
        <f>'DASE DADOS - DISTANCIA'!A711</f>
        <v>6173799</v>
      </c>
      <c r="B690" t="str">
        <f>'DASE DADOS - DISTANCIA'!B711</f>
        <v>JOSE ROSALIN BUCIOLI</v>
      </c>
      <c r="C690" t="str">
        <f>'DASE DADOS - DISTANCIA'!C711</f>
        <v>A1</v>
      </c>
      <c r="D690" t="str">
        <f>'DASE DADOS - DISTANCIA'!E711</f>
        <v>TUPASSI</v>
      </c>
      <c r="E690" t="str">
        <f>'DASE DADOS - DISTANCIA'!I711</f>
        <v>PLUMA</v>
      </c>
      <c r="F690" s="7">
        <v>63.5</v>
      </c>
      <c r="G690">
        <f>'DASE DADOS - DISTANCIA'!J711</f>
        <v>127</v>
      </c>
      <c r="H690" s="2">
        <v>420</v>
      </c>
      <c r="I690" s="2" t="e">
        <f>IF(#REF!&lt;17200,DISTÂNCIA3[[#This Row],[KM PARA PAGAMENTO DOS FRETES]]*4.74,((#REF!/17200)*4.74)*DISTÂNCIA3[[#This Row],[KM PARA PAGAMENTO DOS FRETES]])</f>
        <v>#REF!</v>
      </c>
      <c r="J690" s="4">
        <f>DISTÂNCIA3[[#This Row],[Valor CTE]]/DISTÂNCIA3[[#This Row],[KM PARA PAGAMENTO DOS FRETES]]</f>
        <v>5.925905511811024</v>
      </c>
      <c r="K690" s="6">
        <f t="shared" si="24"/>
        <v>485.14</v>
      </c>
      <c r="L690" s="6">
        <f>0.92*DISTÂNCIA3[[#This Row],[KM distancia]]*4.578</f>
        <v>267.44676000000004</v>
      </c>
      <c r="M690" s="6">
        <f t="shared" si="25"/>
        <v>752.59</v>
      </c>
    </row>
    <row r="691" spans="1:13" hidden="1" x14ac:dyDescent="0.35">
      <c r="A691">
        <f>'DASE DADOS - DISTANCIA'!A712</f>
        <v>6173799</v>
      </c>
      <c r="B691" t="str">
        <f>'DASE DADOS - DISTANCIA'!B712</f>
        <v>JOSE ROSALIN BUCIOLI</v>
      </c>
      <c r="C691" t="str">
        <f>'DASE DADOS - DISTANCIA'!C712</f>
        <v>A2</v>
      </c>
      <c r="D691" t="str">
        <f>'DASE DADOS - DISTANCIA'!E712</f>
        <v>TUPASSI</v>
      </c>
      <c r="E691" t="str">
        <f>'DASE DADOS - DISTANCIA'!I712</f>
        <v>PLUMA</v>
      </c>
      <c r="F691" s="7">
        <v>63.5</v>
      </c>
      <c r="G691">
        <f>'DASE DADOS - DISTANCIA'!J712</f>
        <v>127</v>
      </c>
      <c r="H691" s="2">
        <v>420</v>
      </c>
      <c r="I691" s="2" t="e">
        <f>IF(#REF!&lt;17200,DISTÂNCIA3[[#This Row],[KM PARA PAGAMENTO DOS FRETES]]*4.74,((#REF!/17200)*4.74)*DISTÂNCIA3[[#This Row],[KM PARA PAGAMENTO DOS FRETES]])</f>
        <v>#REF!</v>
      </c>
      <c r="J691" s="4">
        <f>DISTÂNCIA3[[#This Row],[Valor CTE]]/DISTÂNCIA3[[#This Row],[KM PARA PAGAMENTO DOS FRETES]]</f>
        <v>5.925905511811024</v>
      </c>
      <c r="K691" s="6">
        <f t="shared" si="24"/>
        <v>485.14</v>
      </c>
      <c r="L691" s="6">
        <f>0.92*DISTÂNCIA3[[#This Row],[KM distancia]]*4.578</f>
        <v>267.44676000000004</v>
      </c>
      <c r="M691" s="6">
        <f t="shared" si="25"/>
        <v>752.59</v>
      </c>
    </row>
    <row r="692" spans="1:13" hidden="1" x14ac:dyDescent="0.35">
      <c r="A692">
        <f>'DASE DADOS - DISTANCIA'!A713</f>
        <v>6173799</v>
      </c>
      <c r="B692" t="str">
        <f>'DASE DADOS - DISTANCIA'!B713</f>
        <v>JOSE ROSALIN BUCIOLI</v>
      </c>
      <c r="C692" t="str">
        <f>'DASE DADOS - DISTANCIA'!C713</f>
        <v>A3</v>
      </c>
      <c r="D692" t="str">
        <f>'DASE DADOS - DISTANCIA'!E713</f>
        <v>TUPASSI</v>
      </c>
      <c r="E692" t="str">
        <f>'DASE DADOS - DISTANCIA'!I713</f>
        <v>PLUMA</v>
      </c>
      <c r="F692" s="7">
        <v>63.5</v>
      </c>
      <c r="G692">
        <f>'DASE DADOS - DISTANCIA'!J713</f>
        <v>127</v>
      </c>
      <c r="H692" s="2">
        <v>420</v>
      </c>
      <c r="I692" s="2" t="e">
        <f>IF(#REF!&lt;17200,DISTÂNCIA3[[#This Row],[KM PARA PAGAMENTO DOS FRETES]]*4.74,((#REF!/17200)*4.74)*DISTÂNCIA3[[#This Row],[KM PARA PAGAMENTO DOS FRETES]])</f>
        <v>#REF!</v>
      </c>
      <c r="J692" s="4">
        <f>DISTÂNCIA3[[#This Row],[Valor CTE]]/DISTÂNCIA3[[#This Row],[KM PARA PAGAMENTO DOS FRETES]]</f>
        <v>5.925905511811024</v>
      </c>
      <c r="K692" s="6">
        <f t="shared" si="24"/>
        <v>485.14</v>
      </c>
      <c r="L692" s="6">
        <f>0.92*DISTÂNCIA3[[#This Row],[KM distancia]]*4.578</f>
        <v>267.44676000000004</v>
      </c>
      <c r="M692" s="6">
        <f t="shared" si="25"/>
        <v>752.59</v>
      </c>
    </row>
    <row r="693" spans="1:13" hidden="1" x14ac:dyDescent="0.35">
      <c r="A693">
        <f>'DASE DADOS - DISTANCIA'!A714</f>
        <v>5265509</v>
      </c>
      <c r="B693" t="str">
        <f>'DASE DADOS - DISTANCIA'!B714</f>
        <v>CARLOS CESAR FLAMIA</v>
      </c>
      <c r="C693" t="str">
        <f>'DASE DADOS - DISTANCIA'!C714</f>
        <v>A1</v>
      </c>
      <c r="D693" t="str">
        <f>'DASE DADOS - DISTANCIA'!E714</f>
        <v>ASSIS CHATEAUBRIAND</v>
      </c>
      <c r="E693" t="str">
        <f>'DASE DADOS - DISTANCIA'!I714</f>
        <v>PLUMA</v>
      </c>
      <c r="F693" s="7">
        <v>101</v>
      </c>
      <c r="G693">
        <f>'DASE DADOS - DISTANCIA'!J714</f>
        <v>202</v>
      </c>
      <c r="H693" s="2">
        <v>420</v>
      </c>
      <c r="I693" s="2" t="e">
        <f>IF(#REF!&lt;17200,DISTÂNCIA3[[#This Row],[KM PARA PAGAMENTO DOS FRETES]]*4.74,((#REF!/17200)*4.74)*DISTÂNCIA3[[#This Row],[KM PARA PAGAMENTO DOS FRETES]])</f>
        <v>#REF!</v>
      </c>
      <c r="J693" s="4">
        <f>DISTÂNCIA3[[#This Row],[Valor CTE]]/DISTÂNCIA3[[#This Row],[KM PARA PAGAMENTO DOS FRETES]]</f>
        <v>5.3574752475247527</v>
      </c>
      <c r="K693" s="6">
        <f t="shared" si="24"/>
        <v>656.82</v>
      </c>
      <c r="L693" s="6">
        <f>0.92*DISTÂNCIA3[[#This Row],[KM distancia]]*4.578</f>
        <v>425.38776000000001</v>
      </c>
      <c r="M693" s="6">
        <f t="shared" si="25"/>
        <v>1082.21</v>
      </c>
    </row>
    <row r="694" spans="1:13" hidden="1" x14ac:dyDescent="0.35">
      <c r="A694">
        <f>'DASE DADOS - DISTANCIA'!A715</f>
        <v>5265509</v>
      </c>
      <c r="B694" t="str">
        <f>'DASE DADOS - DISTANCIA'!B715</f>
        <v>CARLOS CESAR FLAMIA</v>
      </c>
      <c r="C694" t="str">
        <f>'DASE DADOS - DISTANCIA'!C715</f>
        <v>A2</v>
      </c>
      <c r="D694" t="str">
        <f>'DASE DADOS - DISTANCIA'!E715</f>
        <v>ASSIS CHATEAUBRIAND</v>
      </c>
      <c r="E694" t="str">
        <f>'DASE DADOS - DISTANCIA'!I715</f>
        <v>PLUMA</v>
      </c>
      <c r="F694" s="7">
        <v>101</v>
      </c>
      <c r="G694">
        <f>'DASE DADOS - DISTANCIA'!J715</f>
        <v>202</v>
      </c>
      <c r="H694" s="2">
        <v>420</v>
      </c>
      <c r="I694" s="2" t="e">
        <f>IF(#REF!&lt;17200,DISTÂNCIA3[[#This Row],[KM PARA PAGAMENTO DOS FRETES]]*4.74,((#REF!/17200)*4.74)*DISTÂNCIA3[[#This Row],[KM PARA PAGAMENTO DOS FRETES]])</f>
        <v>#REF!</v>
      </c>
      <c r="J694" s="4">
        <f>DISTÂNCIA3[[#This Row],[Valor CTE]]/DISTÂNCIA3[[#This Row],[KM PARA PAGAMENTO DOS FRETES]]</f>
        <v>5.3574752475247527</v>
      </c>
      <c r="K694" s="6">
        <f t="shared" si="24"/>
        <v>656.82</v>
      </c>
      <c r="L694" s="6">
        <f>0.92*DISTÂNCIA3[[#This Row],[KM distancia]]*4.578</f>
        <v>425.38776000000001</v>
      </c>
      <c r="M694" s="6">
        <f t="shared" si="25"/>
        <v>1082.21</v>
      </c>
    </row>
    <row r="695" spans="1:13" hidden="1" x14ac:dyDescent="0.35">
      <c r="A695">
        <f>'DASE DADOS - DISTANCIA'!A716</f>
        <v>4276442</v>
      </c>
      <c r="B695" t="str">
        <f>'DASE DADOS - DISTANCIA'!B716</f>
        <v>ARIETE LEILA KEIBER OSWALD</v>
      </c>
      <c r="C695" t="str">
        <f>'DASE DADOS - DISTANCIA'!C716</f>
        <v>A1</v>
      </c>
      <c r="D695" t="str">
        <f>'DASE DADOS - DISTANCIA'!E716</f>
        <v>MARECHAL CANDIDO RONDON</v>
      </c>
      <c r="E695" t="str">
        <f>'DASE DADOS - DISTANCIA'!I716</f>
        <v>PLUMA</v>
      </c>
      <c r="F695" s="7">
        <v>113.5</v>
      </c>
      <c r="G695">
        <f>'DASE DADOS - DISTANCIA'!J716</f>
        <v>227</v>
      </c>
      <c r="H695" s="2">
        <v>420</v>
      </c>
      <c r="I695" s="2" t="e">
        <f>IF(#REF!&lt;17200,DISTÂNCIA3[[#This Row],[KM PARA PAGAMENTO DOS FRETES]]*4.74,((#REF!/17200)*4.74)*DISTÂNCIA3[[#This Row],[KM PARA PAGAMENTO DOS FRETES]])</f>
        <v>#REF!</v>
      </c>
      <c r="J695" s="4">
        <f>DISTÂNCIA3[[#This Row],[Valor CTE]]/DISTÂNCIA3[[#This Row],[KM PARA PAGAMENTO DOS FRETES]]</f>
        <v>5.251453744493392</v>
      </c>
      <c r="K695" s="6">
        <f t="shared" si="24"/>
        <v>714.04</v>
      </c>
      <c r="L695" s="6">
        <f>0.92*DISTÂNCIA3[[#This Row],[KM distancia]]*4.578</f>
        <v>478.03476000000006</v>
      </c>
      <c r="M695" s="6">
        <f t="shared" si="25"/>
        <v>1192.08</v>
      </c>
    </row>
    <row r="696" spans="1:13" hidden="1" x14ac:dyDescent="0.35">
      <c r="A696">
        <f>'DASE DADOS - DISTANCIA'!A717</f>
        <v>4276434</v>
      </c>
      <c r="B696" t="str">
        <f>'DASE DADOS - DISTANCIA'!B717</f>
        <v>GILBERTO DANIEL OSWALD</v>
      </c>
      <c r="C696" t="str">
        <f>'DASE DADOS - DISTANCIA'!C717</f>
        <v>A1</v>
      </c>
      <c r="D696" t="str">
        <f>'DASE DADOS - DISTANCIA'!E717</f>
        <v>MARECHAL CANDIDO RONDON</v>
      </c>
      <c r="E696" t="str">
        <f>'DASE DADOS - DISTANCIA'!I717</f>
        <v>PLUMA</v>
      </c>
      <c r="F696" s="7">
        <v>113.5</v>
      </c>
      <c r="G696">
        <f>'DASE DADOS - DISTANCIA'!J717</f>
        <v>227</v>
      </c>
      <c r="H696" s="2">
        <v>420</v>
      </c>
      <c r="I696" s="2" t="e">
        <f>IF(#REF!&lt;17200,DISTÂNCIA3[[#This Row],[KM PARA PAGAMENTO DOS FRETES]]*4.74,((#REF!/17200)*4.74)*DISTÂNCIA3[[#This Row],[KM PARA PAGAMENTO DOS FRETES]])</f>
        <v>#REF!</v>
      </c>
      <c r="J696" s="4">
        <f>DISTÂNCIA3[[#This Row],[Valor CTE]]/DISTÂNCIA3[[#This Row],[KM PARA PAGAMENTO DOS FRETES]]</f>
        <v>5.251453744493392</v>
      </c>
      <c r="K696" s="6">
        <f t="shared" si="24"/>
        <v>714.04</v>
      </c>
      <c r="L696" s="6">
        <f>0.92*DISTÂNCIA3[[#This Row],[KM distancia]]*4.578</f>
        <v>478.03476000000006</v>
      </c>
      <c r="M696" s="6">
        <f t="shared" si="25"/>
        <v>1192.08</v>
      </c>
    </row>
    <row r="697" spans="1:13" hidden="1" x14ac:dyDescent="0.35">
      <c r="A697">
        <f>'DASE DADOS - DISTANCIA'!A718</f>
        <v>4276434</v>
      </c>
      <c r="B697" t="str">
        <f>'DASE DADOS - DISTANCIA'!B718</f>
        <v>GILBERTO DANIEL OSWALD</v>
      </c>
      <c r="C697" t="str">
        <f>'DASE DADOS - DISTANCIA'!C718</f>
        <v>A2</v>
      </c>
      <c r="D697" t="str">
        <f>'DASE DADOS - DISTANCIA'!E718</f>
        <v>MARECHAL CANDIDO RONDON</v>
      </c>
      <c r="E697" t="str">
        <f>'DASE DADOS - DISTANCIA'!I718</f>
        <v>PLUMA</v>
      </c>
      <c r="F697" s="7">
        <v>113.5</v>
      </c>
      <c r="G697">
        <f>'DASE DADOS - DISTANCIA'!J718</f>
        <v>227</v>
      </c>
      <c r="H697" s="2">
        <v>420</v>
      </c>
      <c r="I697" s="2" t="e">
        <f>IF(#REF!&lt;17200,DISTÂNCIA3[[#This Row],[KM PARA PAGAMENTO DOS FRETES]]*4.74,((#REF!/17200)*4.74)*DISTÂNCIA3[[#This Row],[KM PARA PAGAMENTO DOS FRETES]])</f>
        <v>#REF!</v>
      </c>
      <c r="J697" s="4">
        <f>DISTÂNCIA3[[#This Row],[Valor CTE]]/DISTÂNCIA3[[#This Row],[KM PARA PAGAMENTO DOS FRETES]]</f>
        <v>5.251453744493392</v>
      </c>
      <c r="K697" s="6">
        <f t="shared" si="24"/>
        <v>714.04</v>
      </c>
      <c r="L697" s="6">
        <f>0.92*DISTÂNCIA3[[#This Row],[KM distancia]]*4.578</f>
        <v>478.03476000000006</v>
      </c>
      <c r="M697" s="6">
        <f t="shared" si="25"/>
        <v>1192.08</v>
      </c>
    </row>
    <row r="698" spans="1:13" hidden="1" x14ac:dyDescent="0.35">
      <c r="A698">
        <f>'DASE DADOS - DISTANCIA'!A719</f>
        <v>1354116</v>
      </c>
      <c r="B698" t="str">
        <f>'DASE DADOS - DISTANCIA'!B719</f>
        <v>CEANDRA CRISTINA DENEGA ZUTTION</v>
      </c>
      <c r="C698" t="str">
        <f>'DASE DADOS - DISTANCIA'!C719</f>
        <v>A3</v>
      </c>
      <c r="D698" t="str">
        <f>'DASE DADOS - DISTANCIA'!E719</f>
        <v>PLANALTO</v>
      </c>
      <c r="E698">
        <f>'DASE DADOS - DISTANCIA'!I719</f>
        <v>0</v>
      </c>
      <c r="F698" s="7">
        <v>122.5</v>
      </c>
      <c r="G698">
        <v>245</v>
      </c>
      <c r="H698" s="2">
        <v>420</v>
      </c>
      <c r="I698" s="2" t="e">
        <f>IF(#REF!&lt;17200,DISTÂNCIA3[[#This Row],[KM PARA PAGAMENTO DOS FRETES]]*4.74,((#REF!/17200)*4.74)*DISTÂNCIA3[[#This Row],[KM PARA PAGAMENTO DOS FRETES]])</f>
        <v>#REF!</v>
      </c>
      <c r="J698" s="4">
        <f>DISTÂNCIA3[[#This Row],[Valor CTE]]/DISTÂNCIA3[[#This Row],[KM PARA PAGAMENTO DOS FRETES]]</f>
        <v>5.1885306122448984</v>
      </c>
      <c r="K698" s="6">
        <f t="shared" si="24"/>
        <v>755.25</v>
      </c>
      <c r="L698" s="6">
        <f>0.92*DISTÂNCIA3[[#This Row],[KM distancia]]*4.578</f>
        <v>515.94060000000002</v>
      </c>
      <c r="M698" s="6">
        <f t="shared" si="25"/>
        <v>1271.19</v>
      </c>
    </row>
    <row r="699" spans="1:13" hidden="1" x14ac:dyDescent="0.35">
      <c r="A699">
        <f>'DASE DADOS - DISTANCIA'!A720</f>
        <v>1354116</v>
      </c>
      <c r="B699" t="str">
        <f>'DASE DADOS - DISTANCIA'!B720</f>
        <v>CEANDRA CRISTINA DENEGA ZUTTION</v>
      </c>
      <c r="C699" t="str">
        <f>'DASE DADOS - DISTANCIA'!C720</f>
        <v>A1</v>
      </c>
      <c r="D699" t="str">
        <f>'DASE DADOS - DISTANCIA'!E720</f>
        <v>PLANALTO</v>
      </c>
      <c r="E699">
        <f>'DASE DADOS - DISTANCIA'!I720</f>
        <v>0</v>
      </c>
      <c r="F699" s="7">
        <v>122.5</v>
      </c>
      <c r="G699">
        <v>245</v>
      </c>
      <c r="H699" s="2">
        <v>420</v>
      </c>
      <c r="I699" s="2" t="e">
        <f>IF(#REF!&lt;17200,DISTÂNCIA3[[#This Row],[KM PARA PAGAMENTO DOS FRETES]]*4.74,((#REF!/17200)*4.74)*DISTÂNCIA3[[#This Row],[KM PARA PAGAMENTO DOS FRETES]])</f>
        <v>#REF!</v>
      </c>
      <c r="J699" s="4">
        <f>DISTÂNCIA3[[#This Row],[Valor CTE]]/DISTÂNCIA3[[#This Row],[KM PARA PAGAMENTO DOS FRETES]]</f>
        <v>5.1885306122448984</v>
      </c>
      <c r="K699" s="6">
        <f t="shared" si="24"/>
        <v>755.25</v>
      </c>
      <c r="L699" s="6">
        <f>0.92*DISTÂNCIA3[[#This Row],[KM distancia]]*4.578</f>
        <v>515.94060000000002</v>
      </c>
      <c r="M699" s="6">
        <f t="shared" si="25"/>
        <v>1271.19</v>
      </c>
    </row>
    <row r="700" spans="1:13" hidden="1" x14ac:dyDescent="0.35">
      <c r="A700">
        <f>'DASE DADOS - DISTANCIA'!A721</f>
        <v>1287346</v>
      </c>
      <c r="B700" t="str">
        <f>'DASE DADOS - DISTANCIA'!B721</f>
        <v>MARILETE BAREA VILLA</v>
      </c>
      <c r="C700" t="str">
        <f>'DASE DADOS - DISTANCIA'!C721</f>
        <v>A1</v>
      </c>
      <c r="D700" t="str">
        <f>'DASE DADOS - DISTANCIA'!E721</f>
        <v>CAPITÃO LEÔNIDAS MARQUES</v>
      </c>
      <c r="E700" t="s">
        <v>20</v>
      </c>
      <c r="F700" s="7">
        <v>70.5</v>
      </c>
      <c r="G700">
        <v>141</v>
      </c>
      <c r="H700" s="2">
        <v>420</v>
      </c>
      <c r="I700" s="2" t="e">
        <f>IF(#REF!&lt;17200,DISTÂNCIA3[[#This Row],[KM PARA PAGAMENTO DOS FRETES]]*4.74,((#REF!/17200)*4.74)*DISTÂNCIA3[[#This Row],[KM PARA PAGAMENTO DOS FRETES]])</f>
        <v>#REF!</v>
      </c>
      <c r="J700" s="4">
        <f>DISTÂNCIA3[[#This Row],[Valor CTE]]/DISTÂNCIA3[[#This Row],[KM PARA PAGAMENTO DOS FRETES]]</f>
        <v>5.7739007092198582</v>
      </c>
      <c r="K700" s="6">
        <f t="shared" si="24"/>
        <v>517.19000000000005</v>
      </c>
      <c r="L700" s="6">
        <f>0.92*DISTÂNCIA3[[#This Row],[KM distancia]]*4.578</f>
        <v>296.92908</v>
      </c>
      <c r="M700" s="6">
        <f t="shared" si="25"/>
        <v>814.12</v>
      </c>
    </row>
    <row r="701" spans="1:13" hidden="1" x14ac:dyDescent="0.35">
      <c r="A701">
        <f>'DASE DADOS - DISTANCIA'!A722</f>
        <v>1364537</v>
      </c>
      <c r="B701" t="str">
        <f>'DASE DADOS - DISTANCIA'!B722</f>
        <v>VALDENIR DICETI</v>
      </c>
      <c r="C701" t="str">
        <f>'DASE DADOS - DISTANCIA'!C722</f>
        <v>A1</v>
      </c>
      <c r="D701" t="str">
        <f>'DASE DADOS - DISTANCIA'!E722</f>
        <v>CAPANEMA</v>
      </c>
      <c r="E701">
        <f>'DASE DADOS - DISTANCIA'!I722</f>
        <v>0</v>
      </c>
      <c r="F701" s="7">
        <v>117</v>
      </c>
      <c r="G701">
        <v>234</v>
      </c>
      <c r="H701" s="2">
        <v>420</v>
      </c>
      <c r="I701" s="2" t="e">
        <f>IF(#REF!&lt;17200,DISTÂNCIA3[[#This Row],[KM PARA PAGAMENTO DOS FRETES]]*4.74,((#REF!/17200)*4.74)*DISTÂNCIA3[[#This Row],[KM PARA PAGAMENTO DOS FRETES]])</f>
        <v>#REF!</v>
      </c>
      <c r="J701" s="4">
        <f>DISTÂNCIA3[[#This Row],[Valor CTE]]/DISTÂNCIA3[[#This Row],[KM PARA PAGAMENTO DOS FRETES]]</f>
        <v>5.2258119658119657</v>
      </c>
      <c r="K701" s="6">
        <f t="shared" si="24"/>
        <v>730.07</v>
      </c>
      <c r="L701" s="6">
        <f>0.92*DISTÂNCIA3[[#This Row],[KM distancia]]*4.578</f>
        <v>492.77592000000004</v>
      </c>
      <c r="M701" s="6">
        <f t="shared" si="25"/>
        <v>1222.8399999999999</v>
      </c>
    </row>
    <row r="702" spans="1:13" hidden="1" x14ac:dyDescent="0.35">
      <c r="A702">
        <f>'DASE DADOS - DISTANCIA'!A723</f>
        <v>1364510</v>
      </c>
      <c r="B702" t="str">
        <f>'DASE DADOS - DISTANCIA'!B723</f>
        <v>DARLEY CORTEZE</v>
      </c>
      <c r="C702" t="str">
        <f>'DASE DADOS - DISTANCIA'!C723</f>
        <v>A1</v>
      </c>
      <c r="D702" t="str">
        <f>'DASE DADOS - DISTANCIA'!E723</f>
        <v>CAPANEMA</v>
      </c>
      <c r="E702">
        <f>'DASE DADOS - DISTANCIA'!I723</f>
        <v>0</v>
      </c>
      <c r="F702" s="7">
        <v>117</v>
      </c>
      <c r="G702">
        <v>234</v>
      </c>
      <c r="H702" s="2">
        <v>420</v>
      </c>
      <c r="I702" s="2" t="e">
        <f>IF(#REF!&lt;17200,DISTÂNCIA3[[#This Row],[KM PARA PAGAMENTO DOS FRETES]]*4.74,((#REF!/17200)*4.74)*DISTÂNCIA3[[#This Row],[KM PARA PAGAMENTO DOS FRETES]])</f>
        <v>#REF!</v>
      </c>
      <c r="J702" s="4">
        <f>DISTÂNCIA3[[#This Row],[Valor CTE]]/DISTÂNCIA3[[#This Row],[KM PARA PAGAMENTO DOS FRETES]]</f>
        <v>5.2258119658119657</v>
      </c>
      <c r="K702" s="6">
        <f t="shared" si="24"/>
        <v>730.07</v>
      </c>
      <c r="L702" s="6">
        <f>0.92*DISTÂNCIA3[[#This Row],[KM distancia]]*4.578</f>
        <v>492.77592000000004</v>
      </c>
      <c r="M702" s="6">
        <f t="shared" si="25"/>
        <v>1222.8399999999999</v>
      </c>
    </row>
    <row r="703" spans="1:13" hidden="1" x14ac:dyDescent="0.35">
      <c r="A703">
        <f>'DASE DADOS - DISTANCIA'!A724</f>
        <v>1332201</v>
      </c>
      <c r="B703" t="str">
        <f>'DASE DADOS - DISTANCIA'!B724</f>
        <v>DIEGO GREGORIO KUNTZ</v>
      </c>
      <c r="C703" t="str">
        <f>'DASE DADOS - DISTANCIA'!C724</f>
        <v>A2</v>
      </c>
      <c r="D703" t="str">
        <f>'DASE DADOS - DISTANCIA'!E724</f>
        <v>PRANCHITA</v>
      </c>
      <c r="E703" t="s">
        <v>20</v>
      </c>
      <c r="F703" s="7">
        <v>170</v>
      </c>
      <c r="G703">
        <v>340</v>
      </c>
      <c r="H703" s="2">
        <v>420</v>
      </c>
      <c r="I703" s="2" t="e">
        <f>IF(#REF!&lt;17200,DISTÂNCIA3[[#This Row],[KM PARA PAGAMENTO DOS FRETES]]*4.74,((#REF!/17200)*4.74)*DISTÂNCIA3[[#This Row],[KM PARA PAGAMENTO DOS FRETES]])</f>
        <v>#REF!</v>
      </c>
      <c r="J703" s="4">
        <f>DISTÂNCIA3[[#This Row],[Valor CTE]]/DISTÂNCIA3[[#This Row],[KM PARA PAGAMENTO DOS FRETES]]</f>
        <v>4.966764705882353</v>
      </c>
      <c r="K703" s="6">
        <f t="shared" si="24"/>
        <v>972.7</v>
      </c>
      <c r="L703" s="6">
        <f>0.92*DISTÂNCIA3[[#This Row],[KM distancia]]*4.578</f>
        <v>715.99920000000009</v>
      </c>
      <c r="M703" s="6">
        <f t="shared" si="25"/>
        <v>1688.7</v>
      </c>
    </row>
    <row r="704" spans="1:13" hidden="1" x14ac:dyDescent="0.35">
      <c r="A704">
        <f>'DASE DADOS - DISTANCIA'!A725</f>
        <v>1332201</v>
      </c>
      <c r="B704" t="str">
        <f>'DASE DADOS - DISTANCIA'!B725</f>
        <v>DIEGO GREGORIO KUNTZ</v>
      </c>
      <c r="C704" t="str">
        <f>'DASE DADOS - DISTANCIA'!C725</f>
        <v>A3</v>
      </c>
      <c r="D704" t="str">
        <f>'DASE DADOS - DISTANCIA'!E725</f>
        <v>PRANCHITA</v>
      </c>
      <c r="E704" t="s">
        <v>20</v>
      </c>
      <c r="F704" s="7">
        <v>170</v>
      </c>
      <c r="G704">
        <v>340</v>
      </c>
      <c r="H704" s="2">
        <v>420</v>
      </c>
      <c r="I704" s="2" t="e">
        <f>IF(#REF!&lt;17200,DISTÂNCIA3[[#This Row],[KM PARA PAGAMENTO DOS FRETES]]*4.74,((#REF!/17200)*4.74)*DISTÂNCIA3[[#This Row],[KM PARA PAGAMENTO DOS FRETES]])</f>
        <v>#REF!</v>
      </c>
      <c r="J704" s="4">
        <f>DISTÂNCIA3[[#This Row],[Valor CTE]]/DISTÂNCIA3[[#This Row],[KM PARA PAGAMENTO DOS FRETES]]</f>
        <v>4.966764705882353</v>
      </c>
      <c r="K704" s="6">
        <f t="shared" si="24"/>
        <v>972.7</v>
      </c>
      <c r="L704" s="6">
        <f>0.92*DISTÂNCIA3[[#This Row],[KM distancia]]*4.578</f>
        <v>715.99920000000009</v>
      </c>
      <c r="M704" s="6">
        <f t="shared" si="25"/>
        <v>1688.7</v>
      </c>
    </row>
    <row r="705" spans="1:13" hidden="1" x14ac:dyDescent="0.35">
      <c r="A705">
        <f>'DASE DADOS - DISTANCIA'!A726</f>
        <v>1354116</v>
      </c>
      <c r="B705" t="str">
        <f>'DASE DADOS - DISTANCIA'!B726</f>
        <v>CEANDRA CRISTINA DENEGA ZUTTION</v>
      </c>
      <c r="C705" t="str">
        <f>'DASE DADOS - DISTANCIA'!C726</f>
        <v>A2</v>
      </c>
      <c r="D705" t="str">
        <f>'DASE DADOS - DISTANCIA'!E726</f>
        <v>PLANALTO</v>
      </c>
      <c r="E705">
        <f>'DASE DADOS - DISTANCIA'!I726</f>
        <v>0</v>
      </c>
      <c r="F705" s="7">
        <v>122.5</v>
      </c>
      <c r="G705">
        <v>245</v>
      </c>
      <c r="H705" s="2">
        <v>420</v>
      </c>
      <c r="I705" s="2" t="e">
        <f>IF(#REF!&lt;17200,DISTÂNCIA3[[#This Row],[KM PARA PAGAMENTO DOS FRETES]]*4.74,((#REF!/17200)*4.74)*DISTÂNCIA3[[#This Row],[KM PARA PAGAMENTO DOS FRETES]])</f>
        <v>#REF!</v>
      </c>
      <c r="J705" s="4">
        <f>DISTÂNCIA3[[#This Row],[Valor CTE]]/DISTÂNCIA3[[#This Row],[KM PARA PAGAMENTO DOS FRETES]]</f>
        <v>5.1885306122448984</v>
      </c>
      <c r="K705" s="6">
        <f t="shared" si="24"/>
        <v>755.25</v>
      </c>
      <c r="L705" s="6">
        <f>0.92*DISTÂNCIA3[[#This Row],[KM distancia]]*4.578</f>
        <v>515.94060000000002</v>
      </c>
      <c r="M705" s="6">
        <f t="shared" si="25"/>
        <v>1271.19</v>
      </c>
    </row>
    <row r="706" spans="1:13" hidden="1" x14ac:dyDescent="0.35">
      <c r="A706">
        <f>'DASE DADOS - DISTANCIA'!A727</f>
        <v>6159508</v>
      </c>
      <c r="B706" t="str">
        <f>'DASE DADOS - DISTANCIA'!B727</f>
        <v>NATHALIA BASDAO RODRIGUES DA SILVA</v>
      </c>
      <c r="C706" t="str">
        <f>'DASE DADOS - DISTANCIA'!C727</f>
        <v>A6</v>
      </c>
      <c r="D706" t="str">
        <f>'DASE DADOS - DISTANCIA'!E727</f>
        <v>NOVA SANTA ROSA</v>
      </c>
      <c r="E706">
        <f>'DASE DADOS - DISTANCIA'!I727</f>
        <v>0</v>
      </c>
      <c r="F706" s="7">
        <v>111</v>
      </c>
      <c r="G706">
        <v>222</v>
      </c>
      <c r="H706" s="2">
        <v>420</v>
      </c>
      <c r="I706" s="2" t="e">
        <f>IF(#REF!&lt;17200,DISTÂNCIA3[[#This Row],[KM PARA PAGAMENTO DOS FRETES]]*4.74,((#REF!/17200)*4.74)*DISTÂNCIA3[[#This Row],[KM PARA PAGAMENTO DOS FRETES]])</f>
        <v>#REF!</v>
      </c>
      <c r="J706" s="4">
        <f>DISTÂNCIA3[[#This Row],[Valor CTE]]/DISTÂNCIA3[[#This Row],[KM PARA PAGAMENTO DOS FRETES]]</f>
        <v>5.2707207207207203</v>
      </c>
      <c r="K706" s="6">
        <f t="shared" ref="K706:K769" si="26">ROUND((F706*4.578)+194.44,2)</f>
        <v>702.6</v>
      </c>
      <c r="L706" s="6">
        <f>0.92*DISTÂNCIA3[[#This Row],[KM distancia]]*4.578</f>
        <v>467.50536000000005</v>
      </c>
      <c r="M706" s="6">
        <f t="shared" si="25"/>
        <v>1170.0999999999999</v>
      </c>
    </row>
    <row r="707" spans="1:13" hidden="1" x14ac:dyDescent="0.35">
      <c r="A707">
        <f>'DASE DADOS - DISTANCIA'!A728</f>
        <v>6159508</v>
      </c>
      <c r="B707" t="str">
        <f>'DASE DADOS - DISTANCIA'!B728</f>
        <v>NATHALIA BASDAO RODRIGUES DA SILVA</v>
      </c>
      <c r="C707" t="str">
        <f>'DASE DADOS - DISTANCIA'!C728</f>
        <v>A3</v>
      </c>
      <c r="D707" t="str">
        <f>'DASE DADOS - DISTANCIA'!E728</f>
        <v>NOVA SANTA ROSA</v>
      </c>
      <c r="E707">
        <f>'DASE DADOS - DISTANCIA'!I728</f>
        <v>0</v>
      </c>
      <c r="F707" s="7">
        <v>111</v>
      </c>
      <c r="G707">
        <v>222</v>
      </c>
      <c r="H707" s="2">
        <v>420</v>
      </c>
      <c r="I707" s="2" t="e">
        <f>IF(#REF!&lt;17200,DISTÂNCIA3[[#This Row],[KM PARA PAGAMENTO DOS FRETES]]*4.74,((#REF!/17200)*4.74)*DISTÂNCIA3[[#This Row],[KM PARA PAGAMENTO DOS FRETES]])</f>
        <v>#REF!</v>
      </c>
      <c r="J707" s="4">
        <f>DISTÂNCIA3[[#This Row],[Valor CTE]]/DISTÂNCIA3[[#This Row],[KM PARA PAGAMENTO DOS FRETES]]</f>
        <v>5.2707207207207203</v>
      </c>
      <c r="K707" s="6">
        <f t="shared" si="26"/>
        <v>702.6</v>
      </c>
      <c r="L707" s="6">
        <f>0.92*DISTÂNCIA3[[#This Row],[KM distancia]]*4.578</f>
        <v>467.50536000000005</v>
      </c>
      <c r="M707" s="6">
        <f t="shared" ref="M707:M770" si="27">ROUND(((F707*4.578)+194.44)+(0.92*F707*4.578),2)</f>
        <v>1170.0999999999999</v>
      </c>
    </row>
    <row r="708" spans="1:13" hidden="1" x14ac:dyDescent="0.35">
      <c r="A708">
        <f>'DASE DADOS - DISTANCIA'!A729</f>
        <v>6159508</v>
      </c>
      <c r="B708" t="str">
        <f>'DASE DADOS - DISTANCIA'!B729</f>
        <v>NATHALIA BASDAO RODRIGUES DA SILVA</v>
      </c>
      <c r="C708" t="str">
        <f>'DASE DADOS - DISTANCIA'!C729</f>
        <v>A4</v>
      </c>
      <c r="D708" t="str">
        <f>'DASE DADOS - DISTANCIA'!E729</f>
        <v>NOVA SANTA ROSA</v>
      </c>
      <c r="E708">
        <f>'DASE DADOS - DISTANCIA'!I729</f>
        <v>0</v>
      </c>
      <c r="F708" s="7">
        <v>111</v>
      </c>
      <c r="G708">
        <v>222</v>
      </c>
      <c r="H708" s="2">
        <v>420</v>
      </c>
      <c r="I708" s="2" t="e">
        <f>IF(#REF!&lt;17200,DISTÂNCIA3[[#This Row],[KM PARA PAGAMENTO DOS FRETES]]*4.74,((#REF!/17200)*4.74)*DISTÂNCIA3[[#This Row],[KM PARA PAGAMENTO DOS FRETES]])</f>
        <v>#REF!</v>
      </c>
      <c r="J708" s="4">
        <f>DISTÂNCIA3[[#This Row],[Valor CTE]]/DISTÂNCIA3[[#This Row],[KM PARA PAGAMENTO DOS FRETES]]</f>
        <v>5.2707207207207203</v>
      </c>
      <c r="K708" s="6">
        <f t="shared" si="26"/>
        <v>702.6</v>
      </c>
      <c r="L708" s="6">
        <f>0.92*DISTÂNCIA3[[#This Row],[KM distancia]]*4.578</f>
        <v>467.50536000000005</v>
      </c>
      <c r="M708" s="6">
        <f t="shared" si="27"/>
        <v>1170.0999999999999</v>
      </c>
    </row>
    <row r="709" spans="1:13" hidden="1" x14ac:dyDescent="0.35">
      <c r="A709">
        <f>'DASE DADOS - DISTANCIA'!A730</f>
        <v>1380737</v>
      </c>
      <c r="B709" t="str">
        <f>'DASE DADOS - DISTANCIA'!B730</f>
        <v>CLEISON ANTONIO PIETRZACK</v>
      </c>
      <c r="C709" t="str">
        <f>'DASE DADOS - DISTANCIA'!C730</f>
        <v>A1</v>
      </c>
      <c r="D709" t="str">
        <f>'DASE DADOS - DISTANCIA'!E730</f>
        <v>PLANALTO</v>
      </c>
      <c r="E709">
        <f>'DASE DADOS - DISTANCIA'!I730</f>
        <v>0</v>
      </c>
      <c r="F709" s="7">
        <v>121</v>
      </c>
      <c r="G709">
        <v>242</v>
      </c>
      <c r="H709" s="2">
        <v>420</v>
      </c>
      <c r="I709" s="2" t="e">
        <f>IF(#REF!&lt;17200,DISTÂNCIA3[[#This Row],[KM PARA PAGAMENTO DOS FRETES]]*4.74,((#REF!/17200)*4.74)*DISTÂNCIA3[[#This Row],[KM PARA PAGAMENTO DOS FRETES]])</f>
        <v>#REF!</v>
      </c>
      <c r="J709" s="4">
        <f>DISTÂNCIA3[[#This Row],[Valor CTE]]/DISTÂNCIA3[[#This Row],[KM PARA PAGAMENTO DOS FRETES]]</f>
        <v>5.1983471074380168</v>
      </c>
      <c r="K709" s="6">
        <f t="shared" si="26"/>
        <v>748.38</v>
      </c>
      <c r="L709" s="6">
        <f>0.92*DISTÂNCIA3[[#This Row],[KM distancia]]*4.578</f>
        <v>509.62296000000009</v>
      </c>
      <c r="M709" s="6">
        <f t="shared" si="27"/>
        <v>1258</v>
      </c>
    </row>
    <row r="710" spans="1:13" hidden="1" x14ac:dyDescent="0.35">
      <c r="A710">
        <f>'DASE DADOS - DISTANCIA'!A731</f>
        <v>1379828</v>
      </c>
      <c r="B710" t="str">
        <f>'DASE DADOS - DISTANCIA'!B731</f>
        <v>LEOCIR SIDNEI BORGES MOREIRA</v>
      </c>
      <c r="C710" t="str">
        <f>'DASE DADOS - DISTANCIA'!C731</f>
        <v>A1</v>
      </c>
      <c r="D710" t="str">
        <f>'DASE DADOS - DISTANCIA'!E731</f>
        <v>PÉROLA DO OESTE</v>
      </c>
      <c r="E710" t="s">
        <v>20</v>
      </c>
      <c r="F710" s="7">
        <v>127</v>
      </c>
      <c r="G710">
        <v>254</v>
      </c>
      <c r="H710" s="2">
        <v>420</v>
      </c>
      <c r="I710" s="2" t="e">
        <f>IF(#REF!&lt;17200,DISTÂNCIA3[[#This Row],[KM PARA PAGAMENTO DOS FRETES]]*4.74,((#REF!/17200)*4.74)*DISTÂNCIA3[[#This Row],[KM PARA PAGAMENTO DOS FRETES]])</f>
        <v>#REF!</v>
      </c>
      <c r="J710" s="4">
        <f>DISTÂNCIA3[[#This Row],[Valor CTE]]/DISTÂNCIA3[[#This Row],[KM PARA PAGAMENTO DOS FRETES]]</f>
        <v>5.1603937007874014</v>
      </c>
      <c r="K710" s="6">
        <f t="shared" si="26"/>
        <v>775.85</v>
      </c>
      <c r="L710" s="6">
        <f>0.92*DISTÂNCIA3[[#This Row],[KM distancia]]*4.578</f>
        <v>534.89352000000008</v>
      </c>
      <c r="M710" s="6">
        <f t="shared" si="27"/>
        <v>1310.74</v>
      </c>
    </row>
    <row r="711" spans="1:13" hidden="1" x14ac:dyDescent="0.35">
      <c r="A711">
        <f>'DASE DADOS - DISTANCIA'!A732</f>
        <v>446688</v>
      </c>
      <c r="B711" t="str">
        <f>'DASE DADOS - DISTANCIA'!B732</f>
        <v>TELMO VENITES</v>
      </c>
      <c r="C711" t="str">
        <f>'DASE DADOS - DISTANCIA'!C732</f>
        <v>A1</v>
      </c>
      <c r="D711" t="str">
        <f>'DASE DADOS - DISTANCIA'!E732</f>
        <v>CASCAVEL</v>
      </c>
      <c r="E711">
        <f>'DASE DADOS - DISTANCIA'!I732</f>
        <v>0</v>
      </c>
      <c r="F711" s="7" t="s">
        <v>1653</v>
      </c>
      <c r="G711">
        <v>70</v>
      </c>
      <c r="H711" s="2">
        <v>420</v>
      </c>
      <c r="I711" s="2" t="e">
        <f>IF(#REF!&lt;17200,DISTÂNCIA3[[#This Row],[KM PARA PAGAMENTO DOS FRETES]]*4.74,((#REF!/17200)*4.74)*DISTÂNCIA3[[#This Row],[KM PARA PAGAMENTO DOS FRETES]])</f>
        <v>#REF!</v>
      </c>
      <c r="J711" s="4" t="e">
        <f>DISTÂNCIA3[[#This Row],[Valor CTE]]/DISTÂNCIA3[[#This Row],[KM PARA PAGAMENTO DOS FRETES]]</f>
        <v>#VALUE!</v>
      </c>
      <c r="K711" s="6" t="e">
        <f t="shared" si="26"/>
        <v>#VALUE!</v>
      </c>
      <c r="L711" s="6" t="e">
        <f>0.92*DISTÂNCIA3[[#This Row],[KM distancia]]*4.578</f>
        <v>#VALUE!</v>
      </c>
      <c r="M711" s="6" t="e">
        <f t="shared" si="27"/>
        <v>#VALUE!</v>
      </c>
    </row>
    <row r="712" spans="1:13" hidden="1" x14ac:dyDescent="0.35">
      <c r="A712">
        <f>'DASE DADOS - DISTANCIA'!A733</f>
        <v>446688</v>
      </c>
      <c r="B712" t="str">
        <f>'DASE DADOS - DISTANCIA'!B733</f>
        <v>TELMO VENITES</v>
      </c>
      <c r="C712" t="str">
        <f>'DASE DADOS - DISTANCIA'!C733</f>
        <v>A2</v>
      </c>
      <c r="D712" t="str">
        <f>'DASE DADOS - DISTANCIA'!E733</f>
        <v>CASCAVEL</v>
      </c>
      <c r="E712">
        <f>'DASE DADOS - DISTANCIA'!I733</f>
        <v>0</v>
      </c>
      <c r="F712" s="7">
        <v>35</v>
      </c>
      <c r="G712">
        <v>70</v>
      </c>
      <c r="H712" s="2">
        <v>420</v>
      </c>
      <c r="I712" s="2" t="e">
        <f>IF(#REF!&lt;17200,DISTÂNCIA3[[#This Row],[KM PARA PAGAMENTO DOS FRETES]]*4.74,((#REF!/17200)*4.74)*DISTÂNCIA3[[#This Row],[KM PARA PAGAMENTO DOS FRETES]])</f>
        <v>#REF!</v>
      </c>
      <c r="J712" s="4">
        <f>DISTÂNCIA3[[#This Row],[Valor CTE]]/DISTÂNCIA3[[#This Row],[KM PARA PAGAMENTO DOS FRETES]]</f>
        <v>7.1725714285714286</v>
      </c>
      <c r="K712" s="6">
        <f t="shared" si="26"/>
        <v>354.67</v>
      </c>
      <c r="L712" s="6">
        <f>0.92*DISTÂNCIA3[[#This Row],[KM distancia]]*4.578</f>
        <v>147.41160000000002</v>
      </c>
      <c r="M712" s="6">
        <f t="shared" si="27"/>
        <v>502.08</v>
      </c>
    </row>
    <row r="713" spans="1:13" hidden="1" x14ac:dyDescent="0.35">
      <c r="A713">
        <f>'DASE DADOS - DISTANCIA'!A734</f>
        <v>465658</v>
      </c>
      <c r="B713" t="str">
        <f>'DASE DADOS - DISTANCIA'!B734</f>
        <v>DARCI GAMBINI</v>
      </c>
      <c r="C713" t="str">
        <f>'DASE DADOS - DISTANCIA'!C734</f>
        <v>A1</v>
      </c>
      <c r="D713" t="str">
        <f>'DASE DADOS - DISTANCIA'!E734</f>
        <v>FORMOSA DO OESTE</v>
      </c>
      <c r="E713">
        <f>'DASE DADOS - DISTANCIA'!I734</f>
        <v>0</v>
      </c>
      <c r="F713" s="7">
        <v>116.5</v>
      </c>
      <c r="G713">
        <v>233</v>
      </c>
      <c r="H713" s="2">
        <v>420</v>
      </c>
      <c r="I713" s="2" t="e">
        <f>IF(#REF!&lt;17200,DISTÂNCIA3[[#This Row],[KM PARA PAGAMENTO DOS FRETES]]*4.74,((#REF!/17200)*4.74)*DISTÂNCIA3[[#This Row],[KM PARA PAGAMENTO DOS FRETES]])</f>
        <v>#REF!</v>
      </c>
      <c r="J713" s="4">
        <f>DISTÂNCIA3[[#This Row],[Valor CTE]]/DISTÂNCIA3[[#This Row],[KM PARA PAGAMENTO DOS FRETES]]</f>
        <v>5.2293991416309016</v>
      </c>
      <c r="K713" s="6">
        <f t="shared" si="26"/>
        <v>727.78</v>
      </c>
      <c r="L713" s="6">
        <f>0.92*DISTÂNCIA3[[#This Row],[KM distancia]]*4.578</f>
        <v>490.67004000000009</v>
      </c>
      <c r="M713" s="6">
        <f t="shared" si="27"/>
        <v>1218.45</v>
      </c>
    </row>
    <row r="714" spans="1:13" hidden="1" x14ac:dyDescent="0.35">
      <c r="A714">
        <f>'DASE DADOS - DISTANCIA'!A735</f>
        <v>6572944</v>
      </c>
      <c r="B714" t="str">
        <f>'DASE DADOS - DISTANCIA'!B735</f>
        <v>PLUMA AGROAVICOLA LTDA</v>
      </c>
      <c r="C714" t="str">
        <f>'DASE DADOS - DISTANCIA'!C735</f>
        <v>A1</v>
      </c>
      <c r="D714" t="str">
        <f>'DASE DADOS - DISTANCIA'!E735</f>
        <v>CASCAVEL</v>
      </c>
      <c r="E714">
        <f>'DASE DADOS - DISTANCIA'!I735</f>
        <v>0</v>
      </c>
      <c r="F714" s="7">
        <v>76</v>
      </c>
      <c r="G714">
        <v>152</v>
      </c>
      <c r="H714" s="2">
        <v>420</v>
      </c>
      <c r="I714" s="2" t="e">
        <f>IF(#REF!&lt;17200,DISTÂNCIA3[[#This Row],[KM PARA PAGAMENTO DOS FRETES]]*4.74,((#REF!/17200)*4.74)*DISTÂNCIA3[[#This Row],[KM PARA PAGAMENTO DOS FRETES]])</f>
        <v>#REF!</v>
      </c>
      <c r="J714" s="4">
        <f>DISTÂNCIA3[[#This Row],[Valor CTE]]/DISTÂNCIA3[[#This Row],[KM PARA PAGAMENTO DOS FRETES]]</f>
        <v>5.6740789473684217</v>
      </c>
      <c r="K714" s="6">
        <f t="shared" si="26"/>
        <v>542.37</v>
      </c>
      <c r="L714" s="6">
        <f>0.92*DISTÂNCIA3[[#This Row],[KM distancia]]*4.578</f>
        <v>320.09376000000003</v>
      </c>
      <c r="M714" s="6">
        <f t="shared" si="27"/>
        <v>862.46</v>
      </c>
    </row>
    <row r="715" spans="1:13" hidden="1" x14ac:dyDescent="0.35">
      <c r="A715">
        <f>'DASE DADOS - DISTANCIA'!A736</f>
        <v>6572944</v>
      </c>
      <c r="B715" t="str">
        <f>'DASE DADOS - DISTANCIA'!B736</f>
        <v>PLUMA AGROAVICOLA LTDA</v>
      </c>
      <c r="C715" t="str">
        <f>'DASE DADOS - DISTANCIA'!C736</f>
        <v>A2</v>
      </c>
      <c r="D715" t="str">
        <f>'DASE DADOS - DISTANCIA'!E736</f>
        <v>CASCAVEL</v>
      </c>
      <c r="E715">
        <f>'DASE DADOS - DISTANCIA'!I736</f>
        <v>0</v>
      </c>
      <c r="F715" s="7">
        <v>76</v>
      </c>
      <c r="G715">
        <v>152</v>
      </c>
      <c r="H715" s="2">
        <v>420</v>
      </c>
      <c r="I715" s="2" t="e">
        <f>IF(#REF!&lt;17200,DISTÂNCIA3[[#This Row],[KM PARA PAGAMENTO DOS FRETES]]*4.74,((#REF!/17200)*4.74)*DISTÂNCIA3[[#This Row],[KM PARA PAGAMENTO DOS FRETES]])</f>
        <v>#REF!</v>
      </c>
      <c r="J715" s="4">
        <f>DISTÂNCIA3[[#This Row],[Valor CTE]]/DISTÂNCIA3[[#This Row],[KM PARA PAGAMENTO DOS FRETES]]</f>
        <v>5.6740789473684217</v>
      </c>
      <c r="K715" s="6">
        <f t="shared" si="26"/>
        <v>542.37</v>
      </c>
      <c r="L715" s="6">
        <f>0.92*DISTÂNCIA3[[#This Row],[KM distancia]]*4.578</f>
        <v>320.09376000000003</v>
      </c>
      <c r="M715" s="6">
        <f t="shared" si="27"/>
        <v>862.46</v>
      </c>
    </row>
    <row r="716" spans="1:13" hidden="1" x14ac:dyDescent="0.35">
      <c r="A716">
        <f>'DASE DADOS - DISTANCIA'!A737</f>
        <v>29889</v>
      </c>
      <c r="B716" t="str">
        <f>'DASE DADOS - DISTANCIA'!B737</f>
        <v>EDSON LUIZ MAZZOCATO A3</v>
      </c>
      <c r="C716" t="str">
        <f>'DASE DADOS - DISTANCIA'!C737</f>
        <v>A3</v>
      </c>
      <c r="D716" t="str">
        <f>'DASE DADOS - DISTANCIA'!E737</f>
        <v>BOM JESUS DO SUL</v>
      </c>
      <c r="E716">
        <f>'DASE DADOS - DISTANCIA'!I737</f>
        <v>0</v>
      </c>
      <c r="F716" s="7">
        <v>185</v>
      </c>
      <c r="G716">
        <v>370</v>
      </c>
      <c r="H716" s="2">
        <v>420</v>
      </c>
      <c r="I716" s="2" t="e">
        <f>IF(#REF!&lt;17200,DISTÂNCIA3[[#This Row],[KM PARA PAGAMENTO DOS FRETES]]*4.74,((#REF!/17200)*4.74)*DISTÂNCIA3[[#This Row],[KM PARA PAGAMENTO DOS FRETES]])</f>
        <v>#REF!</v>
      </c>
      <c r="J716" s="4">
        <f>DISTÂNCIA3[[#This Row],[Valor CTE]]/DISTÂNCIA3[[#This Row],[KM PARA PAGAMENTO DOS FRETES]]</f>
        <v>4.9204054054054049</v>
      </c>
      <c r="K716" s="6">
        <f t="shared" si="26"/>
        <v>1041.3699999999999</v>
      </c>
      <c r="L716" s="6">
        <f>0.92*DISTÂNCIA3[[#This Row],[KM distancia]]*4.578</f>
        <v>779.17560000000014</v>
      </c>
      <c r="M716" s="6">
        <f t="shared" si="27"/>
        <v>1820.55</v>
      </c>
    </row>
    <row r="717" spans="1:13" hidden="1" x14ac:dyDescent="0.35">
      <c r="A717">
        <f>'DASE DADOS - DISTANCIA'!A738</f>
        <v>29889</v>
      </c>
      <c r="B717" t="str">
        <f>'DASE DADOS - DISTANCIA'!B738</f>
        <v>EDSON LUIZ MAZZOCATO A2</v>
      </c>
      <c r="C717" t="str">
        <f>'DASE DADOS - DISTANCIA'!C738</f>
        <v>A2</v>
      </c>
      <c r="D717" t="str">
        <f>'DASE DADOS - DISTANCIA'!E738</f>
        <v>BOM JESUS DO SUL</v>
      </c>
      <c r="E717">
        <f>'DASE DADOS - DISTANCIA'!I738</f>
        <v>0</v>
      </c>
      <c r="F717" s="7">
        <v>185</v>
      </c>
      <c r="G717">
        <v>370</v>
      </c>
      <c r="H717" s="2">
        <v>420</v>
      </c>
      <c r="I717" s="2" t="e">
        <f>IF(#REF!&lt;17200,DISTÂNCIA3[[#This Row],[KM PARA PAGAMENTO DOS FRETES]]*4.74,((#REF!/17200)*4.74)*DISTÂNCIA3[[#This Row],[KM PARA PAGAMENTO DOS FRETES]])</f>
        <v>#REF!</v>
      </c>
      <c r="J717" s="4">
        <f>DISTÂNCIA3[[#This Row],[Valor CTE]]/DISTÂNCIA3[[#This Row],[KM PARA PAGAMENTO DOS FRETES]]</f>
        <v>4.9204054054054049</v>
      </c>
      <c r="K717" s="6">
        <f t="shared" si="26"/>
        <v>1041.3699999999999</v>
      </c>
      <c r="L717" s="6">
        <f>0.92*DISTÂNCIA3[[#This Row],[KM distancia]]*4.578</f>
        <v>779.17560000000014</v>
      </c>
      <c r="M717" s="6">
        <f t="shared" si="27"/>
        <v>1820.55</v>
      </c>
    </row>
    <row r="718" spans="1:13" hidden="1" x14ac:dyDescent="0.35">
      <c r="A718">
        <f>'DASE DADOS - DISTANCIA'!A739</f>
        <v>29889</v>
      </c>
      <c r="B718" t="str">
        <f>'DASE DADOS - DISTANCIA'!B739</f>
        <v>EDSON LUIZ MAZZOCATO A1</v>
      </c>
      <c r="C718" t="str">
        <f>'DASE DADOS - DISTANCIA'!C739</f>
        <v>A1</v>
      </c>
      <c r="D718" t="str">
        <f>'DASE DADOS - DISTANCIA'!E739</f>
        <v>BOM JESUS DO SUL</v>
      </c>
      <c r="E718">
        <f>'DASE DADOS - DISTANCIA'!I739</f>
        <v>0</v>
      </c>
      <c r="F718" s="7">
        <v>185</v>
      </c>
      <c r="G718">
        <v>370</v>
      </c>
      <c r="H718" s="2">
        <v>420</v>
      </c>
      <c r="I718" s="2" t="e">
        <f>IF(#REF!&lt;17200,DISTÂNCIA3[[#This Row],[KM PARA PAGAMENTO DOS FRETES]]*4.74,((#REF!/17200)*4.74)*DISTÂNCIA3[[#This Row],[KM PARA PAGAMENTO DOS FRETES]])</f>
        <v>#REF!</v>
      </c>
      <c r="J718" s="4">
        <f>DISTÂNCIA3[[#This Row],[Valor CTE]]/DISTÂNCIA3[[#This Row],[KM PARA PAGAMENTO DOS FRETES]]</f>
        <v>4.9204054054054049</v>
      </c>
      <c r="K718" s="6">
        <f t="shared" si="26"/>
        <v>1041.3699999999999</v>
      </c>
      <c r="L718" s="6">
        <f>0.92*DISTÂNCIA3[[#This Row],[KM distancia]]*4.578</f>
        <v>779.17560000000014</v>
      </c>
      <c r="M718" s="6">
        <f t="shared" si="27"/>
        <v>1820.55</v>
      </c>
    </row>
    <row r="719" spans="1:13" hidden="1" x14ac:dyDescent="0.35">
      <c r="A719">
        <f>'DASE DADOS - DISTANCIA'!A740</f>
        <v>1309145</v>
      </c>
      <c r="B719" t="str">
        <f>'DASE DADOS - DISTANCIA'!B740</f>
        <v>MARCILEI JACOBSEN PALAVER</v>
      </c>
      <c r="C719" t="str">
        <f>'DASE DADOS - DISTANCIA'!C740</f>
        <v>A2</v>
      </c>
      <c r="D719" t="str">
        <f>'DASE DADOS - DISTANCIA'!E740</f>
        <v>PLANALTO</v>
      </c>
      <c r="E719">
        <f>'DASE DADOS - DISTANCIA'!I740</f>
        <v>0</v>
      </c>
      <c r="F719" s="7">
        <v>117</v>
      </c>
      <c r="G719">
        <v>234</v>
      </c>
      <c r="H719" s="2">
        <v>420</v>
      </c>
      <c r="I719" s="2" t="e">
        <f>IF(#REF!&lt;17200,DISTÂNCIA3[[#This Row],[KM PARA PAGAMENTO DOS FRETES]]*4.74,((#REF!/17200)*4.74)*DISTÂNCIA3[[#This Row],[KM PARA PAGAMENTO DOS FRETES]])</f>
        <v>#REF!</v>
      </c>
      <c r="J719" s="4">
        <f>DISTÂNCIA3[[#This Row],[Valor CTE]]/DISTÂNCIA3[[#This Row],[KM PARA PAGAMENTO DOS FRETES]]</f>
        <v>5.2258119658119657</v>
      </c>
      <c r="K719" s="6">
        <f t="shared" si="26"/>
        <v>730.07</v>
      </c>
      <c r="L719" s="6">
        <f>0.92*DISTÂNCIA3[[#This Row],[KM distancia]]*4.578</f>
        <v>492.77592000000004</v>
      </c>
      <c r="M719" s="6">
        <f t="shared" si="27"/>
        <v>1222.8399999999999</v>
      </c>
    </row>
    <row r="720" spans="1:13" hidden="1" x14ac:dyDescent="0.35">
      <c r="A720">
        <f>'DASE DADOS - DISTANCIA'!A741</f>
        <v>1309145</v>
      </c>
      <c r="B720" t="str">
        <f>'DASE DADOS - DISTANCIA'!B741</f>
        <v>MARCILEI JACOBSEN PALAVER</v>
      </c>
      <c r="C720" t="str">
        <f>'DASE DADOS - DISTANCIA'!C741</f>
        <v>A3</v>
      </c>
      <c r="D720" t="str">
        <f>'DASE DADOS - DISTANCIA'!E741</f>
        <v>PLANALTO</v>
      </c>
      <c r="E720">
        <f>'DASE DADOS - DISTANCIA'!I741</f>
        <v>0</v>
      </c>
      <c r="F720" s="7">
        <v>117</v>
      </c>
      <c r="G720">
        <v>234</v>
      </c>
      <c r="H720" s="2">
        <v>420</v>
      </c>
      <c r="I720" s="2" t="e">
        <f>IF(#REF!&lt;17200,DISTÂNCIA3[[#This Row],[KM PARA PAGAMENTO DOS FRETES]]*4.74,((#REF!/17200)*4.74)*DISTÂNCIA3[[#This Row],[KM PARA PAGAMENTO DOS FRETES]])</f>
        <v>#REF!</v>
      </c>
      <c r="J720" s="4">
        <f>DISTÂNCIA3[[#This Row],[Valor CTE]]/DISTÂNCIA3[[#This Row],[KM PARA PAGAMENTO DOS FRETES]]</f>
        <v>5.2258119658119657</v>
      </c>
      <c r="K720" s="6">
        <f t="shared" si="26"/>
        <v>730.07</v>
      </c>
      <c r="L720" s="6">
        <f>0.92*DISTÂNCIA3[[#This Row],[KM distancia]]*4.578</f>
        <v>492.77592000000004</v>
      </c>
      <c r="M720" s="6">
        <f t="shared" si="27"/>
        <v>1222.8399999999999</v>
      </c>
    </row>
    <row r="721" spans="1:13" hidden="1" x14ac:dyDescent="0.35">
      <c r="A721">
        <f>'DASE DADOS - DISTANCIA'!A742</f>
        <v>0</v>
      </c>
      <c r="B721">
        <f>'DASE DADOS - DISTANCIA'!B742</f>
        <v>0</v>
      </c>
      <c r="C721">
        <f>'DASE DADOS - DISTANCIA'!C742</f>
        <v>0</v>
      </c>
      <c r="D721">
        <f>'DASE DADOS - DISTANCIA'!E742</f>
        <v>0</v>
      </c>
      <c r="E721">
        <f>'DASE DADOS - DISTANCIA'!I742</f>
        <v>0</v>
      </c>
      <c r="F721" s="7">
        <f>DISTÂNCIA3[[#This Row],[KM PARA PAGAMENTO DOS FRETES]]/2</f>
        <v>0</v>
      </c>
      <c r="G721">
        <f>'DASE DADOS - DISTANCIA'!J742</f>
        <v>0</v>
      </c>
      <c r="H721" s="2">
        <v>420</v>
      </c>
      <c r="I721" s="2" t="e">
        <f>IF(#REF!&lt;17200,DISTÂNCIA3[[#This Row],[KM PARA PAGAMENTO DOS FRETES]]*4.74,((#REF!/17200)*4.74)*DISTÂNCIA3[[#This Row],[KM PARA PAGAMENTO DOS FRETES]])</f>
        <v>#REF!</v>
      </c>
      <c r="J721" s="4" t="e">
        <f>DISTÂNCIA3[[#This Row],[Valor CTE]]/DISTÂNCIA3[[#This Row],[KM PARA PAGAMENTO DOS FRETES]]</f>
        <v>#DIV/0!</v>
      </c>
      <c r="K721" s="6">
        <f t="shared" si="26"/>
        <v>194.44</v>
      </c>
      <c r="L721" s="6">
        <f>0.92*DISTÂNCIA3[[#This Row],[KM distancia]]*4.578</f>
        <v>0</v>
      </c>
      <c r="M721" s="6">
        <f t="shared" si="27"/>
        <v>194.44</v>
      </c>
    </row>
    <row r="722" spans="1:13" hidden="1" x14ac:dyDescent="0.35">
      <c r="A722">
        <f>'DASE DADOS - DISTANCIA'!A743</f>
        <v>0</v>
      </c>
      <c r="B722">
        <f>'DASE DADOS - DISTANCIA'!B743</f>
        <v>0</v>
      </c>
      <c r="C722">
        <f>'DASE DADOS - DISTANCIA'!C743</f>
        <v>0</v>
      </c>
      <c r="D722">
        <f>'DASE DADOS - DISTANCIA'!E743</f>
        <v>0</v>
      </c>
      <c r="E722">
        <f>'DASE DADOS - DISTANCIA'!I743</f>
        <v>0</v>
      </c>
      <c r="F722" s="7">
        <f>DISTÂNCIA3[[#This Row],[KM PARA PAGAMENTO DOS FRETES]]/2</f>
        <v>0</v>
      </c>
      <c r="G722">
        <f>'DASE DADOS - DISTANCIA'!J743</f>
        <v>0</v>
      </c>
      <c r="H722" s="2">
        <v>420</v>
      </c>
      <c r="I722" s="2" t="e">
        <f>IF(#REF!&lt;17200,DISTÂNCIA3[[#This Row],[KM PARA PAGAMENTO DOS FRETES]]*4.74,((#REF!/17200)*4.74)*DISTÂNCIA3[[#This Row],[KM PARA PAGAMENTO DOS FRETES]])</f>
        <v>#REF!</v>
      </c>
      <c r="J722" s="4" t="e">
        <f>DISTÂNCIA3[[#This Row],[Valor CTE]]/DISTÂNCIA3[[#This Row],[KM PARA PAGAMENTO DOS FRETES]]</f>
        <v>#DIV/0!</v>
      </c>
      <c r="K722" s="6">
        <f t="shared" si="26"/>
        <v>194.44</v>
      </c>
      <c r="L722" s="6">
        <f>0.92*DISTÂNCIA3[[#This Row],[KM distancia]]*4.578</f>
        <v>0</v>
      </c>
      <c r="M722" s="6">
        <f t="shared" si="27"/>
        <v>194.44</v>
      </c>
    </row>
    <row r="723" spans="1:13" hidden="1" x14ac:dyDescent="0.35">
      <c r="A723">
        <f>'DASE DADOS - DISTANCIA'!A744</f>
        <v>0</v>
      </c>
      <c r="B723">
        <f>'DASE DADOS - DISTANCIA'!B744</f>
        <v>0</v>
      </c>
      <c r="C723">
        <f>'DASE DADOS - DISTANCIA'!C744</f>
        <v>0</v>
      </c>
      <c r="D723">
        <f>'DASE DADOS - DISTANCIA'!E744</f>
        <v>0</v>
      </c>
      <c r="E723">
        <f>'DASE DADOS - DISTANCIA'!I744</f>
        <v>0</v>
      </c>
      <c r="F723" s="7">
        <f>DISTÂNCIA3[[#This Row],[KM PARA PAGAMENTO DOS FRETES]]/2</f>
        <v>0</v>
      </c>
      <c r="G723">
        <f>'DASE DADOS - DISTANCIA'!J744</f>
        <v>0</v>
      </c>
      <c r="H723" s="2">
        <v>420</v>
      </c>
      <c r="I723" s="2" t="e">
        <f>IF(#REF!&lt;17200,DISTÂNCIA3[[#This Row],[KM PARA PAGAMENTO DOS FRETES]]*4.74,((#REF!/17200)*4.74)*DISTÂNCIA3[[#This Row],[KM PARA PAGAMENTO DOS FRETES]])</f>
        <v>#REF!</v>
      </c>
      <c r="J723" s="4" t="e">
        <f>DISTÂNCIA3[[#This Row],[Valor CTE]]/DISTÂNCIA3[[#This Row],[KM PARA PAGAMENTO DOS FRETES]]</f>
        <v>#DIV/0!</v>
      </c>
      <c r="K723" s="6">
        <f t="shared" si="26"/>
        <v>194.44</v>
      </c>
      <c r="L723" s="6">
        <f>0.92*DISTÂNCIA3[[#This Row],[KM distancia]]*4.578</f>
        <v>0</v>
      </c>
      <c r="M723" s="6">
        <f t="shared" si="27"/>
        <v>194.44</v>
      </c>
    </row>
    <row r="724" spans="1:13" hidden="1" x14ac:dyDescent="0.35">
      <c r="A724">
        <f>'DASE DADOS - DISTANCIA'!A745</f>
        <v>0</v>
      </c>
      <c r="B724">
        <f>'DASE DADOS - DISTANCIA'!B745</f>
        <v>0</v>
      </c>
      <c r="C724">
        <f>'DASE DADOS - DISTANCIA'!C745</f>
        <v>0</v>
      </c>
      <c r="D724">
        <f>'DASE DADOS - DISTANCIA'!E745</f>
        <v>0</v>
      </c>
      <c r="E724">
        <f>'DASE DADOS - DISTANCIA'!I745</f>
        <v>0</v>
      </c>
      <c r="F724" s="7">
        <f>DISTÂNCIA3[[#This Row],[KM PARA PAGAMENTO DOS FRETES]]/2</f>
        <v>0</v>
      </c>
      <c r="G724">
        <f>'DASE DADOS - DISTANCIA'!J745</f>
        <v>0</v>
      </c>
      <c r="H724" s="2">
        <v>420</v>
      </c>
      <c r="I724" s="2" t="e">
        <f>IF(#REF!&lt;17200,DISTÂNCIA3[[#This Row],[KM PARA PAGAMENTO DOS FRETES]]*4.74,((#REF!/17200)*4.74)*DISTÂNCIA3[[#This Row],[KM PARA PAGAMENTO DOS FRETES]])</f>
        <v>#REF!</v>
      </c>
      <c r="J724" s="4" t="e">
        <f>DISTÂNCIA3[[#This Row],[Valor CTE]]/DISTÂNCIA3[[#This Row],[KM PARA PAGAMENTO DOS FRETES]]</f>
        <v>#DIV/0!</v>
      </c>
      <c r="K724" s="6">
        <f t="shared" si="26"/>
        <v>194.44</v>
      </c>
      <c r="L724" s="6">
        <f>0.92*DISTÂNCIA3[[#This Row],[KM distancia]]*4.578</f>
        <v>0</v>
      </c>
      <c r="M724" s="6">
        <f t="shared" si="27"/>
        <v>194.44</v>
      </c>
    </row>
    <row r="725" spans="1:13" hidden="1" x14ac:dyDescent="0.35">
      <c r="A725">
        <f>'DASE DADOS - DISTANCIA'!A746</f>
        <v>0</v>
      </c>
      <c r="B725">
        <f>'DASE DADOS - DISTANCIA'!B746</f>
        <v>0</v>
      </c>
      <c r="C725">
        <f>'DASE DADOS - DISTANCIA'!C746</f>
        <v>0</v>
      </c>
      <c r="D725">
        <f>'DASE DADOS - DISTANCIA'!E746</f>
        <v>0</v>
      </c>
      <c r="E725">
        <f>'DASE DADOS - DISTANCIA'!I746</f>
        <v>0</v>
      </c>
      <c r="F725" s="7">
        <f>DISTÂNCIA3[[#This Row],[KM PARA PAGAMENTO DOS FRETES]]/2</f>
        <v>0</v>
      </c>
      <c r="G725">
        <f>'DASE DADOS - DISTANCIA'!J746</f>
        <v>0</v>
      </c>
      <c r="H725" s="2">
        <v>420</v>
      </c>
      <c r="I725" s="2" t="e">
        <f>IF(#REF!&lt;17200,DISTÂNCIA3[[#This Row],[KM PARA PAGAMENTO DOS FRETES]]*4.74,((#REF!/17200)*4.74)*DISTÂNCIA3[[#This Row],[KM PARA PAGAMENTO DOS FRETES]])</f>
        <v>#REF!</v>
      </c>
      <c r="J725" s="4" t="e">
        <f>DISTÂNCIA3[[#This Row],[Valor CTE]]/DISTÂNCIA3[[#This Row],[KM PARA PAGAMENTO DOS FRETES]]</f>
        <v>#DIV/0!</v>
      </c>
      <c r="K725" s="6">
        <f t="shared" si="26"/>
        <v>194.44</v>
      </c>
      <c r="L725" s="6">
        <f>0.92*DISTÂNCIA3[[#This Row],[KM distancia]]*4.578</f>
        <v>0</v>
      </c>
      <c r="M725" s="6">
        <f t="shared" si="27"/>
        <v>194.44</v>
      </c>
    </row>
    <row r="726" spans="1:13" hidden="1" x14ac:dyDescent="0.35">
      <c r="A726">
        <f>'DASE DADOS - DISTANCIA'!A747</f>
        <v>0</v>
      </c>
      <c r="B726">
        <f>'DASE DADOS - DISTANCIA'!B747</f>
        <v>0</v>
      </c>
      <c r="C726">
        <f>'DASE DADOS - DISTANCIA'!C747</f>
        <v>0</v>
      </c>
      <c r="D726">
        <f>'DASE DADOS - DISTANCIA'!E747</f>
        <v>0</v>
      </c>
      <c r="E726">
        <f>'DASE DADOS - DISTANCIA'!I747</f>
        <v>0</v>
      </c>
      <c r="F726" s="7">
        <f>DISTÂNCIA3[[#This Row],[KM PARA PAGAMENTO DOS FRETES]]/2</f>
        <v>0</v>
      </c>
      <c r="G726">
        <f>'DASE DADOS - DISTANCIA'!J747</f>
        <v>0</v>
      </c>
      <c r="H726" s="2">
        <v>420</v>
      </c>
      <c r="I726" s="2" t="e">
        <f>IF(#REF!&lt;17200,DISTÂNCIA3[[#This Row],[KM PARA PAGAMENTO DOS FRETES]]*4.74,((#REF!/17200)*4.74)*DISTÂNCIA3[[#This Row],[KM PARA PAGAMENTO DOS FRETES]])</f>
        <v>#REF!</v>
      </c>
      <c r="J726" s="4" t="e">
        <f>DISTÂNCIA3[[#This Row],[Valor CTE]]/DISTÂNCIA3[[#This Row],[KM PARA PAGAMENTO DOS FRETES]]</f>
        <v>#DIV/0!</v>
      </c>
      <c r="K726" s="6">
        <f t="shared" si="26"/>
        <v>194.44</v>
      </c>
      <c r="L726" s="6">
        <f>0.92*DISTÂNCIA3[[#This Row],[KM distancia]]*4.578</f>
        <v>0</v>
      </c>
      <c r="M726" s="6">
        <f t="shared" si="27"/>
        <v>194.44</v>
      </c>
    </row>
    <row r="727" spans="1:13" hidden="1" x14ac:dyDescent="0.35">
      <c r="A727">
        <f>'DASE DADOS - DISTANCIA'!A748</f>
        <v>0</v>
      </c>
      <c r="B727">
        <f>'DASE DADOS - DISTANCIA'!B748</f>
        <v>0</v>
      </c>
      <c r="C727">
        <f>'DASE DADOS - DISTANCIA'!C748</f>
        <v>0</v>
      </c>
      <c r="D727">
        <f>'DASE DADOS - DISTANCIA'!E748</f>
        <v>0</v>
      </c>
      <c r="E727">
        <f>'DASE DADOS - DISTANCIA'!I748</f>
        <v>0</v>
      </c>
      <c r="F727" s="7">
        <f>DISTÂNCIA3[[#This Row],[KM PARA PAGAMENTO DOS FRETES]]/2</f>
        <v>0</v>
      </c>
      <c r="G727">
        <f>'DASE DADOS - DISTANCIA'!J748</f>
        <v>0</v>
      </c>
      <c r="H727" s="2">
        <v>420</v>
      </c>
      <c r="I727" s="2" t="e">
        <f>IF(#REF!&lt;17200,DISTÂNCIA3[[#This Row],[KM PARA PAGAMENTO DOS FRETES]]*4.74,((#REF!/17200)*4.74)*DISTÂNCIA3[[#This Row],[KM PARA PAGAMENTO DOS FRETES]])</f>
        <v>#REF!</v>
      </c>
      <c r="J727" s="4" t="e">
        <f>DISTÂNCIA3[[#This Row],[Valor CTE]]/DISTÂNCIA3[[#This Row],[KM PARA PAGAMENTO DOS FRETES]]</f>
        <v>#DIV/0!</v>
      </c>
      <c r="K727" s="6">
        <f t="shared" si="26"/>
        <v>194.44</v>
      </c>
      <c r="L727" s="6">
        <f>0.92*DISTÂNCIA3[[#This Row],[KM distancia]]*4.578</f>
        <v>0</v>
      </c>
      <c r="M727" s="6">
        <f t="shared" si="27"/>
        <v>194.44</v>
      </c>
    </row>
    <row r="728" spans="1:13" hidden="1" x14ac:dyDescent="0.35">
      <c r="A728">
        <f>'DASE DADOS - DISTANCIA'!A749</f>
        <v>0</v>
      </c>
      <c r="B728">
        <f>'DASE DADOS - DISTANCIA'!B749</f>
        <v>0</v>
      </c>
      <c r="C728">
        <f>'DASE DADOS - DISTANCIA'!C749</f>
        <v>0</v>
      </c>
      <c r="D728">
        <f>'DASE DADOS - DISTANCIA'!E749</f>
        <v>0</v>
      </c>
      <c r="E728">
        <f>'DASE DADOS - DISTANCIA'!I749</f>
        <v>0</v>
      </c>
      <c r="F728" s="7">
        <f>DISTÂNCIA3[[#This Row],[KM PARA PAGAMENTO DOS FRETES]]/2</f>
        <v>0</v>
      </c>
      <c r="G728">
        <f>'DASE DADOS - DISTANCIA'!J749</f>
        <v>0</v>
      </c>
      <c r="H728" s="2">
        <v>420</v>
      </c>
      <c r="I728" s="2" t="e">
        <f>IF(#REF!&lt;17200,DISTÂNCIA3[[#This Row],[KM PARA PAGAMENTO DOS FRETES]]*4.74,((#REF!/17200)*4.74)*DISTÂNCIA3[[#This Row],[KM PARA PAGAMENTO DOS FRETES]])</f>
        <v>#REF!</v>
      </c>
      <c r="J728" s="4" t="e">
        <f>DISTÂNCIA3[[#This Row],[Valor CTE]]/DISTÂNCIA3[[#This Row],[KM PARA PAGAMENTO DOS FRETES]]</f>
        <v>#DIV/0!</v>
      </c>
      <c r="K728" s="6">
        <f t="shared" si="26"/>
        <v>194.44</v>
      </c>
      <c r="L728" s="6">
        <f>0.92*DISTÂNCIA3[[#This Row],[KM distancia]]*4.578</f>
        <v>0</v>
      </c>
      <c r="M728" s="6">
        <f t="shared" si="27"/>
        <v>194.44</v>
      </c>
    </row>
    <row r="729" spans="1:13" hidden="1" x14ac:dyDescent="0.35">
      <c r="A729">
        <f>'DASE DADOS - DISTANCIA'!A750</f>
        <v>0</v>
      </c>
      <c r="B729">
        <f>'DASE DADOS - DISTANCIA'!B750</f>
        <v>0</v>
      </c>
      <c r="C729">
        <f>'DASE DADOS - DISTANCIA'!C750</f>
        <v>0</v>
      </c>
      <c r="D729">
        <f>'DASE DADOS - DISTANCIA'!E750</f>
        <v>0</v>
      </c>
      <c r="E729">
        <f>'DASE DADOS - DISTANCIA'!I750</f>
        <v>0</v>
      </c>
      <c r="F729" s="7">
        <f>DISTÂNCIA3[[#This Row],[KM PARA PAGAMENTO DOS FRETES]]/2</f>
        <v>0</v>
      </c>
      <c r="G729">
        <f>'DASE DADOS - DISTANCIA'!J750</f>
        <v>0</v>
      </c>
      <c r="H729" s="2">
        <v>420</v>
      </c>
      <c r="I729" s="2" t="e">
        <f>IF(#REF!&lt;17200,DISTÂNCIA3[[#This Row],[KM PARA PAGAMENTO DOS FRETES]]*4.74,((#REF!/17200)*4.74)*DISTÂNCIA3[[#This Row],[KM PARA PAGAMENTO DOS FRETES]])</f>
        <v>#REF!</v>
      </c>
      <c r="J729" s="4" t="e">
        <f>DISTÂNCIA3[[#This Row],[Valor CTE]]/DISTÂNCIA3[[#This Row],[KM PARA PAGAMENTO DOS FRETES]]</f>
        <v>#DIV/0!</v>
      </c>
      <c r="K729" s="6">
        <f t="shared" si="26"/>
        <v>194.44</v>
      </c>
      <c r="L729" s="6">
        <f>0.92*DISTÂNCIA3[[#This Row],[KM distancia]]*4.578</f>
        <v>0</v>
      </c>
      <c r="M729" s="6">
        <f t="shared" si="27"/>
        <v>194.44</v>
      </c>
    </row>
    <row r="730" spans="1:13" hidden="1" x14ac:dyDescent="0.35">
      <c r="A730">
        <f>'DASE DADOS - DISTANCIA'!A751</f>
        <v>0</v>
      </c>
      <c r="B730">
        <f>'DASE DADOS - DISTANCIA'!B751</f>
        <v>0</v>
      </c>
      <c r="C730">
        <f>'DASE DADOS - DISTANCIA'!C751</f>
        <v>0</v>
      </c>
      <c r="D730">
        <f>'DASE DADOS - DISTANCIA'!E751</f>
        <v>0</v>
      </c>
      <c r="E730">
        <f>'DASE DADOS - DISTANCIA'!I751</f>
        <v>0</v>
      </c>
      <c r="F730" s="7">
        <f>DISTÂNCIA3[[#This Row],[KM PARA PAGAMENTO DOS FRETES]]/2</f>
        <v>0</v>
      </c>
      <c r="G730">
        <f>'DASE DADOS - DISTANCIA'!J751</f>
        <v>0</v>
      </c>
      <c r="H730" s="2">
        <v>420</v>
      </c>
      <c r="I730" s="2" t="e">
        <f>IF(#REF!&lt;17200,DISTÂNCIA3[[#This Row],[KM PARA PAGAMENTO DOS FRETES]]*4.74,((#REF!/17200)*4.74)*DISTÂNCIA3[[#This Row],[KM PARA PAGAMENTO DOS FRETES]])</f>
        <v>#REF!</v>
      </c>
      <c r="J730" s="4" t="e">
        <f>DISTÂNCIA3[[#This Row],[Valor CTE]]/DISTÂNCIA3[[#This Row],[KM PARA PAGAMENTO DOS FRETES]]</f>
        <v>#DIV/0!</v>
      </c>
      <c r="K730" s="6">
        <f t="shared" si="26"/>
        <v>194.44</v>
      </c>
      <c r="L730" s="6">
        <f>0.92*DISTÂNCIA3[[#This Row],[KM distancia]]*4.578</f>
        <v>0</v>
      </c>
      <c r="M730" s="6">
        <f t="shared" si="27"/>
        <v>194.44</v>
      </c>
    </row>
    <row r="731" spans="1:13" hidden="1" x14ac:dyDescent="0.35">
      <c r="A731">
        <f>'DASE DADOS - DISTANCIA'!A752</f>
        <v>0</v>
      </c>
      <c r="B731">
        <f>'DASE DADOS - DISTANCIA'!B752</f>
        <v>0</v>
      </c>
      <c r="C731">
        <f>'DASE DADOS - DISTANCIA'!C752</f>
        <v>0</v>
      </c>
      <c r="D731">
        <f>'DASE DADOS - DISTANCIA'!E752</f>
        <v>0</v>
      </c>
      <c r="E731">
        <f>'DASE DADOS - DISTANCIA'!I752</f>
        <v>0</v>
      </c>
      <c r="F731" s="7">
        <f>DISTÂNCIA3[[#This Row],[KM PARA PAGAMENTO DOS FRETES]]/2</f>
        <v>0</v>
      </c>
      <c r="G731">
        <f>'DASE DADOS - DISTANCIA'!J752</f>
        <v>0</v>
      </c>
      <c r="H731" s="2">
        <v>420</v>
      </c>
      <c r="I731" s="2" t="e">
        <f>IF(#REF!&lt;17200,DISTÂNCIA3[[#This Row],[KM PARA PAGAMENTO DOS FRETES]]*4.74,((#REF!/17200)*4.74)*DISTÂNCIA3[[#This Row],[KM PARA PAGAMENTO DOS FRETES]])</f>
        <v>#REF!</v>
      </c>
      <c r="J731" s="4" t="e">
        <f>DISTÂNCIA3[[#This Row],[Valor CTE]]/DISTÂNCIA3[[#This Row],[KM PARA PAGAMENTO DOS FRETES]]</f>
        <v>#DIV/0!</v>
      </c>
      <c r="K731" s="6">
        <f t="shared" si="26"/>
        <v>194.44</v>
      </c>
      <c r="L731" s="6">
        <f>0.92*DISTÂNCIA3[[#This Row],[KM distancia]]*4.578</f>
        <v>0</v>
      </c>
      <c r="M731" s="6">
        <f t="shared" si="27"/>
        <v>194.44</v>
      </c>
    </row>
    <row r="732" spans="1:13" hidden="1" x14ac:dyDescent="0.35">
      <c r="A732">
        <f>'DASE DADOS - DISTANCIA'!A753</f>
        <v>0</v>
      </c>
      <c r="B732">
        <f>'DASE DADOS - DISTANCIA'!B753</f>
        <v>0</v>
      </c>
      <c r="C732">
        <f>'DASE DADOS - DISTANCIA'!C753</f>
        <v>0</v>
      </c>
      <c r="D732">
        <f>'DASE DADOS - DISTANCIA'!E753</f>
        <v>0</v>
      </c>
      <c r="E732">
        <f>'DASE DADOS - DISTANCIA'!I753</f>
        <v>0</v>
      </c>
      <c r="F732" s="7">
        <f>DISTÂNCIA3[[#This Row],[KM PARA PAGAMENTO DOS FRETES]]/2</f>
        <v>0</v>
      </c>
      <c r="G732">
        <f>'DASE DADOS - DISTANCIA'!J753</f>
        <v>0</v>
      </c>
      <c r="H732" s="2">
        <v>420</v>
      </c>
      <c r="I732" s="2" t="e">
        <f>IF(#REF!&lt;17200,DISTÂNCIA3[[#This Row],[KM PARA PAGAMENTO DOS FRETES]]*4.74,((#REF!/17200)*4.74)*DISTÂNCIA3[[#This Row],[KM PARA PAGAMENTO DOS FRETES]])</f>
        <v>#REF!</v>
      </c>
      <c r="J732" s="4" t="e">
        <f>DISTÂNCIA3[[#This Row],[Valor CTE]]/DISTÂNCIA3[[#This Row],[KM PARA PAGAMENTO DOS FRETES]]</f>
        <v>#DIV/0!</v>
      </c>
      <c r="K732" s="6">
        <f t="shared" si="26"/>
        <v>194.44</v>
      </c>
      <c r="L732" s="6">
        <f>0.92*DISTÂNCIA3[[#This Row],[KM distancia]]*4.578</f>
        <v>0</v>
      </c>
      <c r="M732" s="6">
        <f t="shared" si="27"/>
        <v>194.44</v>
      </c>
    </row>
    <row r="733" spans="1:13" hidden="1" x14ac:dyDescent="0.35">
      <c r="A733">
        <f>'DASE DADOS - DISTANCIA'!A754</f>
        <v>0</v>
      </c>
      <c r="B733">
        <f>'DASE DADOS - DISTANCIA'!B754</f>
        <v>0</v>
      </c>
      <c r="C733">
        <f>'DASE DADOS - DISTANCIA'!C754</f>
        <v>0</v>
      </c>
      <c r="D733">
        <f>'DASE DADOS - DISTANCIA'!E754</f>
        <v>0</v>
      </c>
      <c r="E733">
        <f>'DASE DADOS - DISTANCIA'!I754</f>
        <v>0</v>
      </c>
      <c r="F733" s="7">
        <f>DISTÂNCIA3[[#This Row],[KM PARA PAGAMENTO DOS FRETES]]/2</f>
        <v>0</v>
      </c>
      <c r="G733">
        <f>'DASE DADOS - DISTANCIA'!J754</f>
        <v>0</v>
      </c>
      <c r="H733" s="2">
        <v>420</v>
      </c>
      <c r="I733" s="2" t="e">
        <f>IF(#REF!&lt;17200,DISTÂNCIA3[[#This Row],[KM PARA PAGAMENTO DOS FRETES]]*4.74,((#REF!/17200)*4.74)*DISTÂNCIA3[[#This Row],[KM PARA PAGAMENTO DOS FRETES]])</f>
        <v>#REF!</v>
      </c>
      <c r="J733" s="4" t="e">
        <f>DISTÂNCIA3[[#This Row],[Valor CTE]]/DISTÂNCIA3[[#This Row],[KM PARA PAGAMENTO DOS FRETES]]</f>
        <v>#DIV/0!</v>
      </c>
      <c r="K733" s="6">
        <f t="shared" si="26"/>
        <v>194.44</v>
      </c>
      <c r="L733" s="6">
        <f>0.92*DISTÂNCIA3[[#This Row],[KM distancia]]*4.578</f>
        <v>0</v>
      </c>
      <c r="M733" s="6">
        <f t="shared" si="27"/>
        <v>194.44</v>
      </c>
    </row>
    <row r="734" spans="1:13" hidden="1" x14ac:dyDescent="0.35">
      <c r="A734">
        <f>'DASE DADOS - DISTANCIA'!A755</f>
        <v>0</v>
      </c>
      <c r="B734">
        <f>'DASE DADOS - DISTANCIA'!B755</f>
        <v>0</v>
      </c>
      <c r="C734">
        <f>'DASE DADOS - DISTANCIA'!C755</f>
        <v>0</v>
      </c>
      <c r="D734">
        <f>'DASE DADOS - DISTANCIA'!E755</f>
        <v>0</v>
      </c>
      <c r="E734">
        <f>'DASE DADOS - DISTANCIA'!I755</f>
        <v>0</v>
      </c>
      <c r="F734" s="7">
        <f>DISTÂNCIA3[[#This Row],[KM PARA PAGAMENTO DOS FRETES]]/2</f>
        <v>0</v>
      </c>
      <c r="G734">
        <f>'DASE DADOS - DISTANCIA'!J755</f>
        <v>0</v>
      </c>
      <c r="H734" s="2">
        <v>420</v>
      </c>
      <c r="I734" s="2" t="e">
        <f>IF(#REF!&lt;17200,DISTÂNCIA3[[#This Row],[KM PARA PAGAMENTO DOS FRETES]]*4.74,((#REF!/17200)*4.74)*DISTÂNCIA3[[#This Row],[KM PARA PAGAMENTO DOS FRETES]])</f>
        <v>#REF!</v>
      </c>
      <c r="J734" s="4" t="e">
        <f>DISTÂNCIA3[[#This Row],[Valor CTE]]/DISTÂNCIA3[[#This Row],[KM PARA PAGAMENTO DOS FRETES]]</f>
        <v>#DIV/0!</v>
      </c>
      <c r="K734" s="6">
        <f t="shared" si="26"/>
        <v>194.44</v>
      </c>
      <c r="L734" s="6">
        <f>0.92*DISTÂNCIA3[[#This Row],[KM distancia]]*4.578</f>
        <v>0</v>
      </c>
      <c r="M734" s="6">
        <f t="shared" si="27"/>
        <v>194.44</v>
      </c>
    </row>
    <row r="735" spans="1:13" hidden="1" x14ac:dyDescent="0.35">
      <c r="A735">
        <f>'DASE DADOS - DISTANCIA'!A756</f>
        <v>0</v>
      </c>
      <c r="B735">
        <f>'DASE DADOS - DISTANCIA'!B756</f>
        <v>0</v>
      </c>
      <c r="C735">
        <f>'DASE DADOS - DISTANCIA'!C756</f>
        <v>0</v>
      </c>
      <c r="D735">
        <f>'DASE DADOS - DISTANCIA'!E756</f>
        <v>0</v>
      </c>
      <c r="E735">
        <f>'DASE DADOS - DISTANCIA'!I756</f>
        <v>0</v>
      </c>
      <c r="F735" s="7">
        <f>DISTÂNCIA3[[#This Row],[KM PARA PAGAMENTO DOS FRETES]]/2</f>
        <v>0</v>
      </c>
      <c r="G735">
        <f>'DASE DADOS - DISTANCIA'!J756</f>
        <v>0</v>
      </c>
      <c r="H735" s="2">
        <v>420</v>
      </c>
      <c r="I735" s="2" t="e">
        <f>IF(#REF!&lt;17200,DISTÂNCIA3[[#This Row],[KM PARA PAGAMENTO DOS FRETES]]*4.74,((#REF!/17200)*4.74)*DISTÂNCIA3[[#This Row],[KM PARA PAGAMENTO DOS FRETES]])</f>
        <v>#REF!</v>
      </c>
      <c r="J735" s="4" t="e">
        <f>DISTÂNCIA3[[#This Row],[Valor CTE]]/DISTÂNCIA3[[#This Row],[KM PARA PAGAMENTO DOS FRETES]]</f>
        <v>#DIV/0!</v>
      </c>
      <c r="K735" s="6">
        <f t="shared" si="26"/>
        <v>194.44</v>
      </c>
      <c r="L735" s="6">
        <f>0.92*DISTÂNCIA3[[#This Row],[KM distancia]]*4.578</f>
        <v>0</v>
      </c>
      <c r="M735" s="6">
        <f t="shared" si="27"/>
        <v>194.44</v>
      </c>
    </row>
    <row r="736" spans="1:13" hidden="1" x14ac:dyDescent="0.35">
      <c r="A736">
        <f>'DASE DADOS - DISTANCIA'!A757</f>
        <v>0</v>
      </c>
      <c r="B736">
        <f>'DASE DADOS - DISTANCIA'!B757</f>
        <v>0</v>
      </c>
      <c r="C736">
        <f>'DASE DADOS - DISTANCIA'!C757</f>
        <v>0</v>
      </c>
      <c r="D736">
        <f>'DASE DADOS - DISTANCIA'!E757</f>
        <v>0</v>
      </c>
      <c r="E736">
        <f>'DASE DADOS - DISTANCIA'!I757</f>
        <v>0</v>
      </c>
      <c r="F736" s="7">
        <f>DISTÂNCIA3[[#This Row],[KM PARA PAGAMENTO DOS FRETES]]/2</f>
        <v>0</v>
      </c>
      <c r="G736">
        <f>'DASE DADOS - DISTANCIA'!J757</f>
        <v>0</v>
      </c>
      <c r="H736" s="2">
        <v>420</v>
      </c>
      <c r="I736" s="2" t="e">
        <f>IF(#REF!&lt;17200,DISTÂNCIA3[[#This Row],[KM PARA PAGAMENTO DOS FRETES]]*4.74,((#REF!/17200)*4.74)*DISTÂNCIA3[[#This Row],[KM PARA PAGAMENTO DOS FRETES]])</f>
        <v>#REF!</v>
      </c>
      <c r="J736" s="4" t="e">
        <f>DISTÂNCIA3[[#This Row],[Valor CTE]]/DISTÂNCIA3[[#This Row],[KM PARA PAGAMENTO DOS FRETES]]</f>
        <v>#DIV/0!</v>
      </c>
      <c r="K736" s="6">
        <f t="shared" si="26"/>
        <v>194.44</v>
      </c>
      <c r="L736" s="6">
        <f>0.92*DISTÂNCIA3[[#This Row],[KM distancia]]*4.578</f>
        <v>0</v>
      </c>
      <c r="M736" s="6">
        <f t="shared" si="27"/>
        <v>194.44</v>
      </c>
    </row>
    <row r="737" spans="1:13" hidden="1" x14ac:dyDescent="0.35">
      <c r="A737">
        <f>'DASE DADOS - DISTANCIA'!A758</f>
        <v>0</v>
      </c>
      <c r="B737">
        <f>'DASE DADOS - DISTANCIA'!B758</f>
        <v>0</v>
      </c>
      <c r="C737">
        <f>'DASE DADOS - DISTANCIA'!C758</f>
        <v>0</v>
      </c>
      <c r="D737">
        <f>'DASE DADOS - DISTANCIA'!E758</f>
        <v>0</v>
      </c>
      <c r="E737">
        <f>'DASE DADOS - DISTANCIA'!I758</f>
        <v>0</v>
      </c>
      <c r="F737" s="7">
        <f>DISTÂNCIA3[[#This Row],[KM PARA PAGAMENTO DOS FRETES]]/2</f>
        <v>0</v>
      </c>
      <c r="G737">
        <f>'DASE DADOS - DISTANCIA'!J758</f>
        <v>0</v>
      </c>
      <c r="H737" s="2">
        <v>420</v>
      </c>
      <c r="I737" s="2" t="e">
        <f>IF(#REF!&lt;17200,DISTÂNCIA3[[#This Row],[KM PARA PAGAMENTO DOS FRETES]]*4.74,((#REF!/17200)*4.74)*DISTÂNCIA3[[#This Row],[KM PARA PAGAMENTO DOS FRETES]])</f>
        <v>#REF!</v>
      </c>
      <c r="J737" s="4" t="e">
        <f>DISTÂNCIA3[[#This Row],[Valor CTE]]/DISTÂNCIA3[[#This Row],[KM PARA PAGAMENTO DOS FRETES]]</f>
        <v>#DIV/0!</v>
      </c>
      <c r="K737" s="6">
        <f t="shared" si="26"/>
        <v>194.44</v>
      </c>
      <c r="L737" s="6">
        <f>0.92*DISTÂNCIA3[[#This Row],[KM distancia]]*4.578</f>
        <v>0</v>
      </c>
      <c r="M737" s="6">
        <f t="shared" si="27"/>
        <v>194.44</v>
      </c>
    </row>
    <row r="738" spans="1:13" hidden="1" x14ac:dyDescent="0.35">
      <c r="A738">
        <f>'DASE DADOS - DISTANCIA'!A759</f>
        <v>0</v>
      </c>
      <c r="B738">
        <f>'DASE DADOS - DISTANCIA'!B759</f>
        <v>0</v>
      </c>
      <c r="C738">
        <f>'DASE DADOS - DISTANCIA'!C759</f>
        <v>0</v>
      </c>
      <c r="D738">
        <f>'DASE DADOS - DISTANCIA'!E759</f>
        <v>0</v>
      </c>
      <c r="E738">
        <f>'DASE DADOS - DISTANCIA'!I759</f>
        <v>0</v>
      </c>
      <c r="F738" s="7">
        <f>DISTÂNCIA3[[#This Row],[KM PARA PAGAMENTO DOS FRETES]]/2</f>
        <v>0</v>
      </c>
      <c r="G738">
        <f>'DASE DADOS - DISTANCIA'!J759</f>
        <v>0</v>
      </c>
      <c r="H738" s="2">
        <v>420</v>
      </c>
      <c r="I738" s="2" t="e">
        <f>IF(#REF!&lt;17200,DISTÂNCIA3[[#This Row],[KM PARA PAGAMENTO DOS FRETES]]*4.74,((#REF!/17200)*4.74)*DISTÂNCIA3[[#This Row],[KM PARA PAGAMENTO DOS FRETES]])</f>
        <v>#REF!</v>
      </c>
      <c r="J738" s="4" t="e">
        <f>DISTÂNCIA3[[#This Row],[Valor CTE]]/DISTÂNCIA3[[#This Row],[KM PARA PAGAMENTO DOS FRETES]]</f>
        <v>#DIV/0!</v>
      </c>
      <c r="K738" s="6">
        <f t="shared" si="26"/>
        <v>194.44</v>
      </c>
      <c r="L738" s="6">
        <f>0.92*DISTÂNCIA3[[#This Row],[KM distancia]]*4.578</f>
        <v>0</v>
      </c>
      <c r="M738" s="6">
        <f t="shared" si="27"/>
        <v>194.44</v>
      </c>
    </row>
    <row r="739" spans="1:13" hidden="1" x14ac:dyDescent="0.35">
      <c r="A739">
        <f>'DASE DADOS - DISTANCIA'!A760</f>
        <v>0</v>
      </c>
      <c r="B739">
        <f>'DASE DADOS - DISTANCIA'!B760</f>
        <v>0</v>
      </c>
      <c r="C739">
        <f>'DASE DADOS - DISTANCIA'!C760</f>
        <v>0</v>
      </c>
      <c r="D739">
        <f>'DASE DADOS - DISTANCIA'!E760</f>
        <v>0</v>
      </c>
      <c r="E739">
        <f>'DASE DADOS - DISTANCIA'!I760</f>
        <v>0</v>
      </c>
      <c r="F739" s="7">
        <f>DISTÂNCIA3[[#This Row],[KM PARA PAGAMENTO DOS FRETES]]/2</f>
        <v>0</v>
      </c>
      <c r="G739">
        <f>'DASE DADOS - DISTANCIA'!J760</f>
        <v>0</v>
      </c>
      <c r="H739" s="2">
        <v>420</v>
      </c>
      <c r="I739" s="2" t="e">
        <f>IF(#REF!&lt;17200,DISTÂNCIA3[[#This Row],[KM PARA PAGAMENTO DOS FRETES]]*4.74,((#REF!/17200)*4.74)*DISTÂNCIA3[[#This Row],[KM PARA PAGAMENTO DOS FRETES]])</f>
        <v>#REF!</v>
      </c>
      <c r="J739" s="4" t="e">
        <f>DISTÂNCIA3[[#This Row],[Valor CTE]]/DISTÂNCIA3[[#This Row],[KM PARA PAGAMENTO DOS FRETES]]</f>
        <v>#DIV/0!</v>
      </c>
      <c r="K739" s="6">
        <f t="shared" si="26"/>
        <v>194.44</v>
      </c>
      <c r="L739" s="6">
        <f>0.92*DISTÂNCIA3[[#This Row],[KM distancia]]*4.578</f>
        <v>0</v>
      </c>
      <c r="M739" s="6">
        <f t="shared" si="27"/>
        <v>194.44</v>
      </c>
    </row>
    <row r="740" spans="1:13" hidden="1" x14ac:dyDescent="0.35">
      <c r="A740">
        <f>'DASE DADOS - DISTANCIA'!A761</f>
        <v>0</v>
      </c>
      <c r="B740">
        <f>'DASE DADOS - DISTANCIA'!B761</f>
        <v>0</v>
      </c>
      <c r="C740">
        <f>'DASE DADOS - DISTANCIA'!C761</f>
        <v>0</v>
      </c>
      <c r="D740">
        <f>'DASE DADOS - DISTANCIA'!E761</f>
        <v>0</v>
      </c>
      <c r="E740">
        <f>'DASE DADOS - DISTANCIA'!I761</f>
        <v>0</v>
      </c>
      <c r="F740" s="7">
        <f>DISTÂNCIA3[[#This Row],[KM PARA PAGAMENTO DOS FRETES]]/2</f>
        <v>0</v>
      </c>
      <c r="G740">
        <f>'DASE DADOS - DISTANCIA'!J761</f>
        <v>0</v>
      </c>
      <c r="H740" s="2">
        <v>420</v>
      </c>
      <c r="I740" s="2" t="e">
        <f>IF(#REF!&lt;17200,DISTÂNCIA3[[#This Row],[KM PARA PAGAMENTO DOS FRETES]]*4.74,((#REF!/17200)*4.74)*DISTÂNCIA3[[#This Row],[KM PARA PAGAMENTO DOS FRETES]])</f>
        <v>#REF!</v>
      </c>
      <c r="J740" s="4" t="e">
        <f>DISTÂNCIA3[[#This Row],[Valor CTE]]/DISTÂNCIA3[[#This Row],[KM PARA PAGAMENTO DOS FRETES]]</f>
        <v>#DIV/0!</v>
      </c>
      <c r="K740" s="6">
        <f t="shared" si="26"/>
        <v>194.44</v>
      </c>
      <c r="L740" s="6">
        <f>0.92*DISTÂNCIA3[[#This Row],[KM distancia]]*4.578</f>
        <v>0</v>
      </c>
      <c r="M740" s="6">
        <f t="shared" si="27"/>
        <v>194.44</v>
      </c>
    </row>
    <row r="741" spans="1:13" hidden="1" x14ac:dyDescent="0.35">
      <c r="A741">
        <f>'DASE DADOS - DISTANCIA'!A762</f>
        <v>0</v>
      </c>
      <c r="B741">
        <f>'DASE DADOS - DISTANCIA'!B762</f>
        <v>0</v>
      </c>
      <c r="C741">
        <f>'DASE DADOS - DISTANCIA'!C762</f>
        <v>0</v>
      </c>
      <c r="D741">
        <f>'DASE DADOS - DISTANCIA'!E762</f>
        <v>0</v>
      </c>
      <c r="E741">
        <f>'DASE DADOS - DISTANCIA'!I762</f>
        <v>0</v>
      </c>
      <c r="F741" s="7">
        <f>DISTÂNCIA3[[#This Row],[KM PARA PAGAMENTO DOS FRETES]]/2</f>
        <v>0</v>
      </c>
      <c r="G741">
        <f>'DASE DADOS - DISTANCIA'!J762</f>
        <v>0</v>
      </c>
      <c r="H741" s="2">
        <v>420</v>
      </c>
      <c r="I741" s="2" t="e">
        <f>IF(#REF!&lt;17200,DISTÂNCIA3[[#This Row],[KM PARA PAGAMENTO DOS FRETES]]*4.74,((#REF!/17200)*4.74)*DISTÂNCIA3[[#This Row],[KM PARA PAGAMENTO DOS FRETES]])</f>
        <v>#REF!</v>
      </c>
      <c r="J741" s="4" t="e">
        <f>DISTÂNCIA3[[#This Row],[Valor CTE]]/DISTÂNCIA3[[#This Row],[KM PARA PAGAMENTO DOS FRETES]]</f>
        <v>#DIV/0!</v>
      </c>
      <c r="K741" s="6">
        <f t="shared" si="26"/>
        <v>194.44</v>
      </c>
      <c r="L741" s="6">
        <f>0.92*DISTÂNCIA3[[#This Row],[KM distancia]]*4.578</f>
        <v>0</v>
      </c>
      <c r="M741" s="6">
        <f t="shared" si="27"/>
        <v>194.44</v>
      </c>
    </row>
    <row r="742" spans="1:13" hidden="1" x14ac:dyDescent="0.35">
      <c r="A742">
        <f>'DASE DADOS - DISTANCIA'!A763</f>
        <v>0</v>
      </c>
      <c r="B742">
        <f>'DASE DADOS - DISTANCIA'!B763</f>
        <v>0</v>
      </c>
      <c r="C742">
        <f>'DASE DADOS - DISTANCIA'!C763</f>
        <v>0</v>
      </c>
      <c r="D742">
        <f>'DASE DADOS - DISTANCIA'!E763</f>
        <v>0</v>
      </c>
      <c r="E742">
        <f>'DASE DADOS - DISTANCIA'!I763</f>
        <v>0</v>
      </c>
      <c r="F742" s="7">
        <f>DISTÂNCIA3[[#This Row],[KM PARA PAGAMENTO DOS FRETES]]/2</f>
        <v>0</v>
      </c>
      <c r="G742">
        <f>'DASE DADOS - DISTANCIA'!J763</f>
        <v>0</v>
      </c>
      <c r="H742" s="2">
        <v>420</v>
      </c>
      <c r="I742" s="2" t="e">
        <f>IF(#REF!&lt;17200,DISTÂNCIA3[[#This Row],[KM PARA PAGAMENTO DOS FRETES]]*4.74,((#REF!/17200)*4.74)*DISTÂNCIA3[[#This Row],[KM PARA PAGAMENTO DOS FRETES]])</f>
        <v>#REF!</v>
      </c>
      <c r="J742" s="4" t="e">
        <f>DISTÂNCIA3[[#This Row],[Valor CTE]]/DISTÂNCIA3[[#This Row],[KM PARA PAGAMENTO DOS FRETES]]</f>
        <v>#DIV/0!</v>
      </c>
      <c r="K742" s="6">
        <f t="shared" si="26"/>
        <v>194.44</v>
      </c>
      <c r="L742" s="6">
        <f>0.92*DISTÂNCIA3[[#This Row],[KM distancia]]*4.578</f>
        <v>0</v>
      </c>
      <c r="M742" s="6">
        <f t="shared" si="27"/>
        <v>194.44</v>
      </c>
    </row>
    <row r="743" spans="1:13" hidden="1" x14ac:dyDescent="0.35">
      <c r="A743">
        <f>'DASE DADOS - DISTANCIA'!A764</f>
        <v>0</v>
      </c>
      <c r="B743">
        <f>'DASE DADOS - DISTANCIA'!B764</f>
        <v>0</v>
      </c>
      <c r="C743">
        <f>'DASE DADOS - DISTANCIA'!C764</f>
        <v>0</v>
      </c>
      <c r="D743">
        <f>'DASE DADOS - DISTANCIA'!E764</f>
        <v>0</v>
      </c>
      <c r="E743">
        <f>'DASE DADOS - DISTANCIA'!I764</f>
        <v>0</v>
      </c>
      <c r="F743" s="7">
        <f>DISTÂNCIA3[[#This Row],[KM PARA PAGAMENTO DOS FRETES]]/2</f>
        <v>0</v>
      </c>
      <c r="G743">
        <f>'DASE DADOS - DISTANCIA'!J764</f>
        <v>0</v>
      </c>
      <c r="H743" s="2">
        <v>420</v>
      </c>
      <c r="I743" s="2" t="e">
        <f>IF(#REF!&lt;17200,DISTÂNCIA3[[#This Row],[KM PARA PAGAMENTO DOS FRETES]]*4.74,((#REF!/17200)*4.74)*DISTÂNCIA3[[#This Row],[KM PARA PAGAMENTO DOS FRETES]])</f>
        <v>#REF!</v>
      </c>
      <c r="J743" s="4" t="e">
        <f>DISTÂNCIA3[[#This Row],[Valor CTE]]/DISTÂNCIA3[[#This Row],[KM PARA PAGAMENTO DOS FRETES]]</f>
        <v>#DIV/0!</v>
      </c>
      <c r="K743" s="6">
        <f t="shared" si="26"/>
        <v>194.44</v>
      </c>
      <c r="L743" s="6">
        <f>0.92*DISTÂNCIA3[[#This Row],[KM distancia]]*4.578</f>
        <v>0</v>
      </c>
      <c r="M743" s="6">
        <f t="shared" si="27"/>
        <v>194.44</v>
      </c>
    </row>
    <row r="744" spans="1:13" hidden="1" x14ac:dyDescent="0.35">
      <c r="A744">
        <f>'DASE DADOS - DISTANCIA'!A765</f>
        <v>0</v>
      </c>
      <c r="B744">
        <f>'DASE DADOS - DISTANCIA'!B765</f>
        <v>0</v>
      </c>
      <c r="C744">
        <f>'DASE DADOS - DISTANCIA'!C765</f>
        <v>0</v>
      </c>
      <c r="D744">
        <f>'DASE DADOS - DISTANCIA'!E765</f>
        <v>0</v>
      </c>
      <c r="E744">
        <f>'DASE DADOS - DISTANCIA'!I765</f>
        <v>0</v>
      </c>
      <c r="F744" s="7">
        <f>DISTÂNCIA3[[#This Row],[KM PARA PAGAMENTO DOS FRETES]]/2</f>
        <v>0</v>
      </c>
      <c r="G744">
        <f>'DASE DADOS - DISTANCIA'!J765</f>
        <v>0</v>
      </c>
      <c r="H744" s="2">
        <v>420</v>
      </c>
      <c r="I744" s="2" t="e">
        <f>IF(#REF!&lt;17200,DISTÂNCIA3[[#This Row],[KM PARA PAGAMENTO DOS FRETES]]*4.74,((#REF!/17200)*4.74)*DISTÂNCIA3[[#This Row],[KM PARA PAGAMENTO DOS FRETES]])</f>
        <v>#REF!</v>
      </c>
      <c r="J744" s="4" t="e">
        <f>DISTÂNCIA3[[#This Row],[Valor CTE]]/DISTÂNCIA3[[#This Row],[KM PARA PAGAMENTO DOS FRETES]]</f>
        <v>#DIV/0!</v>
      </c>
      <c r="K744" s="6">
        <f t="shared" si="26"/>
        <v>194.44</v>
      </c>
      <c r="L744" s="6">
        <f>0.92*DISTÂNCIA3[[#This Row],[KM distancia]]*4.578</f>
        <v>0</v>
      </c>
      <c r="M744" s="6">
        <f t="shared" si="27"/>
        <v>194.44</v>
      </c>
    </row>
    <row r="745" spans="1:13" hidden="1" x14ac:dyDescent="0.35">
      <c r="A745">
        <f>'DASE DADOS - DISTANCIA'!A766</f>
        <v>0</v>
      </c>
      <c r="B745">
        <f>'DASE DADOS - DISTANCIA'!B766</f>
        <v>0</v>
      </c>
      <c r="C745">
        <f>'DASE DADOS - DISTANCIA'!C766</f>
        <v>0</v>
      </c>
      <c r="D745">
        <f>'DASE DADOS - DISTANCIA'!E766</f>
        <v>0</v>
      </c>
      <c r="E745">
        <f>'DASE DADOS - DISTANCIA'!I766</f>
        <v>0</v>
      </c>
      <c r="F745" s="7">
        <f>DISTÂNCIA3[[#This Row],[KM PARA PAGAMENTO DOS FRETES]]/2</f>
        <v>0</v>
      </c>
      <c r="G745">
        <f>'DASE DADOS - DISTANCIA'!J766</f>
        <v>0</v>
      </c>
      <c r="H745" s="2">
        <v>420</v>
      </c>
      <c r="I745" s="2" t="e">
        <f>IF(#REF!&lt;17200,DISTÂNCIA3[[#This Row],[KM PARA PAGAMENTO DOS FRETES]]*4.74,((#REF!/17200)*4.74)*DISTÂNCIA3[[#This Row],[KM PARA PAGAMENTO DOS FRETES]])</f>
        <v>#REF!</v>
      </c>
      <c r="J745" s="4" t="e">
        <f>DISTÂNCIA3[[#This Row],[Valor CTE]]/DISTÂNCIA3[[#This Row],[KM PARA PAGAMENTO DOS FRETES]]</f>
        <v>#DIV/0!</v>
      </c>
      <c r="K745" s="6">
        <f t="shared" si="26"/>
        <v>194.44</v>
      </c>
      <c r="L745" s="6">
        <f>0.92*DISTÂNCIA3[[#This Row],[KM distancia]]*4.578</f>
        <v>0</v>
      </c>
      <c r="M745" s="6">
        <f t="shared" si="27"/>
        <v>194.44</v>
      </c>
    </row>
    <row r="746" spans="1:13" hidden="1" x14ac:dyDescent="0.35">
      <c r="A746">
        <f>'DASE DADOS - DISTANCIA'!A767</f>
        <v>0</v>
      </c>
      <c r="B746">
        <f>'DASE DADOS - DISTANCIA'!B767</f>
        <v>0</v>
      </c>
      <c r="C746">
        <f>'DASE DADOS - DISTANCIA'!C767</f>
        <v>0</v>
      </c>
      <c r="D746">
        <f>'DASE DADOS - DISTANCIA'!E767</f>
        <v>0</v>
      </c>
      <c r="E746">
        <f>'DASE DADOS - DISTANCIA'!I767</f>
        <v>0</v>
      </c>
      <c r="F746" s="7">
        <f>DISTÂNCIA3[[#This Row],[KM PARA PAGAMENTO DOS FRETES]]/2</f>
        <v>0</v>
      </c>
      <c r="G746">
        <f>'DASE DADOS - DISTANCIA'!J767</f>
        <v>0</v>
      </c>
      <c r="H746" s="2">
        <v>420</v>
      </c>
      <c r="I746" s="2" t="e">
        <f>IF(#REF!&lt;17200,DISTÂNCIA3[[#This Row],[KM PARA PAGAMENTO DOS FRETES]]*4.74,((#REF!/17200)*4.74)*DISTÂNCIA3[[#This Row],[KM PARA PAGAMENTO DOS FRETES]])</f>
        <v>#REF!</v>
      </c>
      <c r="J746" s="4" t="e">
        <f>DISTÂNCIA3[[#This Row],[Valor CTE]]/DISTÂNCIA3[[#This Row],[KM PARA PAGAMENTO DOS FRETES]]</f>
        <v>#DIV/0!</v>
      </c>
      <c r="K746" s="6">
        <f t="shared" si="26"/>
        <v>194.44</v>
      </c>
      <c r="L746" s="6">
        <f>0.92*DISTÂNCIA3[[#This Row],[KM distancia]]*4.578</f>
        <v>0</v>
      </c>
      <c r="M746" s="6">
        <f t="shared" si="27"/>
        <v>194.44</v>
      </c>
    </row>
    <row r="747" spans="1:13" hidden="1" x14ac:dyDescent="0.35">
      <c r="A747">
        <f>'DASE DADOS - DISTANCIA'!A768</f>
        <v>0</v>
      </c>
      <c r="B747">
        <f>'DASE DADOS - DISTANCIA'!B768</f>
        <v>0</v>
      </c>
      <c r="C747">
        <f>'DASE DADOS - DISTANCIA'!C768</f>
        <v>0</v>
      </c>
      <c r="D747">
        <f>'DASE DADOS - DISTANCIA'!E768</f>
        <v>0</v>
      </c>
      <c r="E747">
        <f>'DASE DADOS - DISTANCIA'!I768</f>
        <v>0</v>
      </c>
      <c r="F747" s="7">
        <f>DISTÂNCIA3[[#This Row],[KM PARA PAGAMENTO DOS FRETES]]/2</f>
        <v>0</v>
      </c>
      <c r="G747">
        <f>'DASE DADOS - DISTANCIA'!J768</f>
        <v>0</v>
      </c>
      <c r="H747" s="2">
        <v>420</v>
      </c>
      <c r="I747" s="2" t="e">
        <f>IF(#REF!&lt;17200,DISTÂNCIA3[[#This Row],[KM PARA PAGAMENTO DOS FRETES]]*4.74,((#REF!/17200)*4.74)*DISTÂNCIA3[[#This Row],[KM PARA PAGAMENTO DOS FRETES]])</f>
        <v>#REF!</v>
      </c>
      <c r="J747" s="4" t="e">
        <f>DISTÂNCIA3[[#This Row],[Valor CTE]]/DISTÂNCIA3[[#This Row],[KM PARA PAGAMENTO DOS FRETES]]</f>
        <v>#DIV/0!</v>
      </c>
      <c r="K747" s="6">
        <f t="shared" si="26"/>
        <v>194.44</v>
      </c>
      <c r="L747" s="6">
        <f>0.92*DISTÂNCIA3[[#This Row],[KM distancia]]*4.578</f>
        <v>0</v>
      </c>
      <c r="M747" s="6">
        <f t="shared" si="27"/>
        <v>194.44</v>
      </c>
    </row>
    <row r="748" spans="1:13" hidden="1" x14ac:dyDescent="0.35">
      <c r="A748">
        <f>'DASE DADOS - DISTANCIA'!A769</f>
        <v>0</v>
      </c>
      <c r="B748">
        <f>'DASE DADOS - DISTANCIA'!B769</f>
        <v>0</v>
      </c>
      <c r="C748">
        <f>'DASE DADOS - DISTANCIA'!C769</f>
        <v>0</v>
      </c>
      <c r="D748">
        <f>'DASE DADOS - DISTANCIA'!E769</f>
        <v>0</v>
      </c>
      <c r="E748">
        <f>'DASE DADOS - DISTANCIA'!I769</f>
        <v>0</v>
      </c>
      <c r="F748" s="7">
        <f>DISTÂNCIA3[[#This Row],[KM PARA PAGAMENTO DOS FRETES]]/2</f>
        <v>0</v>
      </c>
      <c r="G748">
        <f>'DASE DADOS - DISTANCIA'!J769</f>
        <v>0</v>
      </c>
      <c r="H748" s="2">
        <v>420</v>
      </c>
      <c r="I748" s="2" t="e">
        <f>IF(#REF!&lt;17200,DISTÂNCIA3[[#This Row],[KM PARA PAGAMENTO DOS FRETES]]*4.74,((#REF!/17200)*4.74)*DISTÂNCIA3[[#This Row],[KM PARA PAGAMENTO DOS FRETES]])</f>
        <v>#REF!</v>
      </c>
      <c r="J748" s="4" t="e">
        <f>DISTÂNCIA3[[#This Row],[Valor CTE]]/DISTÂNCIA3[[#This Row],[KM PARA PAGAMENTO DOS FRETES]]</f>
        <v>#DIV/0!</v>
      </c>
      <c r="K748" s="6">
        <f t="shared" si="26"/>
        <v>194.44</v>
      </c>
      <c r="L748" s="6">
        <f>0.92*DISTÂNCIA3[[#This Row],[KM distancia]]*4.578</f>
        <v>0</v>
      </c>
      <c r="M748" s="6">
        <f t="shared" si="27"/>
        <v>194.44</v>
      </c>
    </row>
    <row r="749" spans="1:13" hidden="1" x14ac:dyDescent="0.35">
      <c r="A749">
        <f>'DASE DADOS - DISTANCIA'!A770</f>
        <v>0</v>
      </c>
      <c r="B749">
        <f>'DASE DADOS - DISTANCIA'!B770</f>
        <v>0</v>
      </c>
      <c r="C749">
        <f>'DASE DADOS - DISTANCIA'!C770</f>
        <v>0</v>
      </c>
      <c r="D749">
        <f>'DASE DADOS - DISTANCIA'!E770</f>
        <v>0</v>
      </c>
      <c r="E749">
        <f>'DASE DADOS - DISTANCIA'!I770</f>
        <v>0</v>
      </c>
      <c r="F749" s="7">
        <f>DISTÂNCIA3[[#This Row],[KM PARA PAGAMENTO DOS FRETES]]/2</f>
        <v>0</v>
      </c>
      <c r="G749">
        <f>'DASE DADOS - DISTANCIA'!J770</f>
        <v>0</v>
      </c>
      <c r="H749" s="2">
        <v>420</v>
      </c>
      <c r="I749" s="2" t="e">
        <f>IF(#REF!&lt;17200,DISTÂNCIA3[[#This Row],[KM PARA PAGAMENTO DOS FRETES]]*4.74,((#REF!/17200)*4.74)*DISTÂNCIA3[[#This Row],[KM PARA PAGAMENTO DOS FRETES]])</f>
        <v>#REF!</v>
      </c>
      <c r="J749" s="4" t="e">
        <f>DISTÂNCIA3[[#This Row],[Valor CTE]]/DISTÂNCIA3[[#This Row],[KM PARA PAGAMENTO DOS FRETES]]</f>
        <v>#DIV/0!</v>
      </c>
      <c r="K749" s="6">
        <f t="shared" si="26"/>
        <v>194.44</v>
      </c>
      <c r="L749" s="6">
        <f>0.92*DISTÂNCIA3[[#This Row],[KM distancia]]*4.578</f>
        <v>0</v>
      </c>
      <c r="M749" s="6">
        <f t="shared" si="27"/>
        <v>194.44</v>
      </c>
    </row>
    <row r="750" spans="1:13" hidden="1" x14ac:dyDescent="0.35">
      <c r="A750">
        <f>'DASE DADOS - DISTANCIA'!A771</f>
        <v>0</v>
      </c>
      <c r="B750">
        <f>'DASE DADOS - DISTANCIA'!B771</f>
        <v>0</v>
      </c>
      <c r="C750">
        <f>'DASE DADOS - DISTANCIA'!C771</f>
        <v>0</v>
      </c>
      <c r="D750">
        <f>'DASE DADOS - DISTANCIA'!E771</f>
        <v>0</v>
      </c>
      <c r="E750">
        <f>'DASE DADOS - DISTANCIA'!I771</f>
        <v>0</v>
      </c>
      <c r="F750" s="7">
        <f>DISTÂNCIA3[[#This Row],[KM PARA PAGAMENTO DOS FRETES]]/2</f>
        <v>0</v>
      </c>
      <c r="G750">
        <f>'DASE DADOS - DISTANCIA'!J771</f>
        <v>0</v>
      </c>
      <c r="H750" s="2">
        <v>420</v>
      </c>
      <c r="I750" s="2" t="e">
        <f>IF(#REF!&lt;17200,DISTÂNCIA3[[#This Row],[KM PARA PAGAMENTO DOS FRETES]]*4.74,((#REF!/17200)*4.74)*DISTÂNCIA3[[#This Row],[KM PARA PAGAMENTO DOS FRETES]])</f>
        <v>#REF!</v>
      </c>
      <c r="J750" s="4" t="e">
        <f>DISTÂNCIA3[[#This Row],[Valor CTE]]/DISTÂNCIA3[[#This Row],[KM PARA PAGAMENTO DOS FRETES]]</f>
        <v>#DIV/0!</v>
      </c>
      <c r="K750" s="6">
        <f t="shared" si="26"/>
        <v>194.44</v>
      </c>
      <c r="L750" s="6">
        <f>0.92*DISTÂNCIA3[[#This Row],[KM distancia]]*4.578</f>
        <v>0</v>
      </c>
      <c r="M750" s="6">
        <f t="shared" si="27"/>
        <v>194.44</v>
      </c>
    </row>
    <row r="751" spans="1:13" hidden="1" x14ac:dyDescent="0.35">
      <c r="A751">
        <f>'DASE DADOS - DISTANCIA'!A772</f>
        <v>0</v>
      </c>
      <c r="B751">
        <f>'DASE DADOS - DISTANCIA'!B772</f>
        <v>0</v>
      </c>
      <c r="C751">
        <f>'DASE DADOS - DISTANCIA'!C772</f>
        <v>0</v>
      </c>
      <c r="D751">
        <f>'DASE DADOS - DISTANCIA'!E772</f>
        <v>0</v>
      </c>
      <c r="E751">
        <f>'DASE DADOS - DISTANCIA'!I772</f>
        <v>0</v>
      </c>
      <c r="F751" s="7">
        <f>DISTÂNCIA3[[#This Row],[KM PARA PAGAMENTO DOS FRETES]]/2</f>
        <v>0</v>
      </c>
      <c r="G751">
        <f>'DASE DADOS - DISTANCIA'!J772</f>
        <v>0</v>
      </c>
      <c r="H751" s="2">
        <v>420</v>
      </c>
      <c r="I751" s="2" t="e">
        <f>IF(#REF!&lt;17200,DISTÂNCIA3[[#This Row],[KM PARA PAGAMENTO DOS FRETES]]*4.74,((#REF!/17200)*4.74)*DISTÂNCIA3[[#This Row],[KM PARA PAGAMENTO DOS FRETES]])</f>
        <v>#REF!</v>
      </c>
      <c r="J751" s="4" t="e">
        <f>DISTÂNCIA3[[#This Row],[Valor CTE]]/DISTÂNCIA3[[#This Row],[KM PARA PAGAMENTO DOS FRETES]]</f>
        <v>#DIV/0!</v>
      </c>
      <c r="K751" s="6">
        <f t="shared" si="26"/>
        <v>194.44</v>
      </c>
      <c r="L751" s="6">
        <f>0.92*DISTÂNCIA3[[#This Row],[KM distancia]]*4.578</f>
        <v>0</v>
      </c>
      <c r="M751" s="6">
        <f t="shared" si="27"/>
        <v>194.44</v>
      </c>
    </row>
    <row r="752" spans="1:13" hidden="1" x14ac:dyDescent="0.35">
      <c r="A752">
        <f>'DASE DADOS - DISTANCIA'!A773</f>
        <v>0</v>
      </c>
      <c r="B752">
        <f>'DASE DADOS - DISTANCIA'!B773</f>
        <v>0</v>
      </c>
      <c r="C752">
        <f>'DASE DADOS - DISTANCIA'!C773</f>
        <v>0</v>
      </c>
      <c r="D752">
        <f>'DASE DADOS - DISTANCIA'!E773</f>
        <v>0</v>
      </c>
      <c r="E752">
        <f>'DASE DADOS - DISTANCIA'!I773</f>
        <v>0</v>
      </c>
      <c r="F752" s="7">
        <f>DISTÂNCIA3[[#This Row],[KM PARA PAGAMENTO DOS FRETES]]/2</f>
        <v>0</v>
      </c>
      <c r="G752">
        <f>'DASE DADOS - DISTANCIA'!J773</f>
        <v>0</v>
      </c>
      <c r="H752" s="2">
        <v>420</v>
      </c>
      <c r="I752" s="2" t="e">
        <f>IF(#REF!&lt;17200,DISTÂNCIA3[[#This Row],[KM PARA PAGAMENTO DOS FRETES]]*4.74,((#REF!/17200)*4.74)*DISTÂNCIA3[[#This Row],[KM PARA PAGAMENTO DOS FRETES]])</f>
        <v>#REF!</v>
      </c>
      <c r="J752" s="4" t="e">
        <f>DISTÂNCIA3[[#This Row],[Valor CTE]]/DISTÂNCIA3[[#This Row],[KM PARA PAGAMENTO DOS FRETES]]</f>
        <v>#DIV/0!</v>
      </c>
      <c r="K752" s="6">
        <f t="shared" si="26"/>
        <v>194.44</v>
      </c>
      <c r="L752" s="6">
        <f>0.92*DISTÂNCIA3[[#This Row],[KM distancia]]*4.578</f>
        <v>0</v>
      </c>
      <c r="M752" s="6">
        <f t="shared" si="27"/>
        <v>194.44</v>
      </c>
    </row>
    <row r="753" spans="1:13" hidden="1" x14ac:dyDescent="0.35">
      <c r="A753">
        <f>'DASE DADOS - DISTANCIA'!A774</f>
        <v>0</v>
      </c>
      <c r="B753">
        <f>'DASE DADOS - DISTANCIA'!B774</f>
        <v>0</v>
      </c>
      <c r="C753">
        <f>'DASE DADOS - DISTANCIA'!C774</f>
        <v>0</v>
      </c>
      <c r="D753">
        <f>'DASE DADOS - DISTANCIA'!E774</f>
        <v>0</v>
      </c>
      <c r="E753">
        <f>'DASE DADOS - DISTANCIA'!I774</f>
        <v>0</v>
      </c>
      <c r="F753" s="7">
        <f>DISTÂNCIA3[[#This Row],[KM PARA PAGAMENTO DOS FRETES]]/2</f>
        <v>0</v>
      </c>
      <c r="G753">
        <f>'DASE DADOS - DISTANCIA'!J774</f>
        <v>0</v>
      </c>
      <c r="H753" s="2">
        <v>420</v>
      </c>
      <c r="I753" s="2" t="e">
        <f>IF(#REF!&lt;17200,DISTÂNCIA3[[#This Row],[KM PARA PAGAMENTO DOS FRETES]]*4.74,((#REF!/17200)*4.74)*DISTÂNCIA3[[#This Row],[KM PARA PAGAMENTO DOS FRETES]])</f>
        <v>#REF!</v>
      </c>
      <c r="J753" s="4" t="e">
        <f>DISTÂNCIA3[[#This Row],[Valor CTE]]/DISTÂNCIA3[[#This Row],[KM PARA PAGAMENTO DOS FRETES]]</f>
        <v>#DIV/0!</v>
      </c>
      <c r="K753" s="6">
        <f t="shared" si="26"/>
        <v>194.44</v>
      </c>
      <c r="L753" s="6">
        <f>0.92*DISTÂNCIA3[[#This Row],[KM distancia]]*4.578</f>
        <v>0</v>
      </c>
      <c r="M753" s="6">
        <f t="shared" si="27"/>
        <v>194.44</v>
      </c>
    </row>
    <row r="754" spans="1:13" hidden="1" x14ac:dyDescent="0.35">
      <c r="A754">
        <f>'DASE DADOS - DISTANCIA'!A775</f>
        <v>0</v>
      </c>
      <c r="B754">
        <f>'DASE DADOS - DISTANCIA'!B775</f>
        <v>0</v>
      </c>
      <c r="C754">
        <f>'DASE DADOS - DISTANCIA'!C775</f>
        <v>0</v>
      </c>
      <c r="D754">
        <f>'DASE DADOS - DISTANCIA'!E775</f>
        <v>0</v>
      </c>
      <c r="E754">
        <f>'DASE DADOS - DISTANCIA'!I775</f>
        <v>0</v>
      </c>
      <c r="F754" s="7">
        <f>DISTÂNCIA3[[#This Row],[KM PARA PAGAMENTO DOS FRETES]]/2</f>
        <v>0</v>
      </c>
      <c r="G754">
        <f>'DASE DADOS - DISTANCIA'!J775</f>
        <v>0</v>
      </c>
      <c r="H754" s="2">
        <v>420</v>
      </c>
      <c r="I754" s="2" t="e">
        <f>IF(#REF!&lt;17200,DISTÂNCIA3[[#This Row],[KM PARA PAGAMENTO DOS FRETES]]*4.74,((#REF!/17200)*4.74)*DISTÂNCIA3[[#This Row],[KM PARA PAGAMENTO DOS FRETES]])</f>
        <v>#REF!</v>
      </c>
      <c r="J754" s="4" t="e">
        <f>DISTÂNCIA3[[#This Row],[Valor CTE]]/DISTÂNCIA3[[#This Row],[KM PARA PAGAMENTO DOS FRETES]]</f>
        <v>#DIV/0!</v>
      </c>
      <c r="K754" s="6">
        <f t="shared" si="26"/>
        <v>194.44</v>
      </c>
      <c r="L754" s="6">
        <f>0.92*DISTÂNCIA3[[#This Row],[KM distancia]]*4.578</f>
        <v>0</v>
      </c>
      <c r="M754" s="6">
        <f t="shared" si="27"/>
        <v>194.44</v>
      </c>
    </row>
    <row r="755" spans="1:13" hidden="1" x14ac:dyDescent="0.35">
      <c r="A755">
        <f>'DASE DADOS - DISTANCIA'!A776</f>
        <v>0</v>
      </c>
      <c r="B755">
        <f>'DASE DADOS - DISTANCIA'!B776</f>
        <v>0</v>
      </c>
      <c r="C755">
        <f>'DASE DADOS - DISTANCIA'!C776</f>
        <v>0</v>
      </c>
      <c r="D755">
        <f>'DASE DADOS - DISTANCIA'!E776</f>
        <v>0</v>
      </c>
      <c r="E755">
        <f>'DASE DADOS - DISTANCIA'!I776</f>
        <v>0</v>
      </c>
      <c r="F755" s="7">
        <f>DISTÂNCIA3[[#This Row],[KM PARA PAGAMENTO DOS FRETES]]/2</f>
        <v>0</v>
      </c>
      <c r="G755">
        <f>'DASE DADOS - DISTANCIA'!J776</f>
        <v>0</v>
      </c>
      <c r="H755" s="2">
        <v>420</v>
      </c>
      <c r="I755" s="2" t="e">
        <f>IF(#REF!&lt;17200,DISTÂNCIA3[[#This Row],[KM PARA PAGAMENTO DOS FRETES]]*4.74,((#REF!/17200)*4.74)*DISTÂNCIA3[[#This Row],[KM PARA PAGAMENTO DOS FRETES]])</f>
        <v>#REF!</v>
      </c>
      <c r="J755" s="4" t="e">
        <f>DISTÂNCIA3[[#This Row],[Valor CTE]]/DISTÂNCIA3[[#This Row],[KM PARA PAGAMENTO DOS FRETES]]</f>
        <v>#DIV/0!</v>
      </c>
      <c r="K755" s="6">
        <f t="shared" si="26"/>
        <v>194.44</v>
      </c>
      <c r="L755" s="6">
        <f>0.92*DISTÂNCIA3[[#This Row],[KM distancia]]*4.578</f>
        <v>0</v>
      </c>
      <c r="M755" s="6">
        <f t="shared" si="27"/>
        <v>194.44</v>
      </c>
    </row>
    <row r="756" spans="1:13" hidden="1" x14ac:dyDescent="0.35">
      <c r="A756">
        <f>'DASE DADOS - DISTANCIA'!A777</f>
        <v>0</v>
      </c>
      <c r="B756">
        <f>'DASE DADOS - DISTANCIA'!B777</f>
        <v>0</v>
      </c>
      <c r="C756">
        <f>'DASE DADOS - DISTANCIA'!C777</f>
        <v>0</v>
      </c>
      <c r="D756">
        <f>'DASE DADOS - DISTANCIA'!E777</f>
        <v>0</v>
      </c>
      <c r="E756">
        <f>'DASE DADOS - DISTANCIA'!I777</f>
        <v>0</v>
      </c>
      <c r="F756" s="7">
        <f>DISTÂNCIA3[[#This Row],[KM PARA PAGAMENTO DOS FRETES]]/2</f>
        <v>0</v>
      </c>
      <c r="G756">
        <f>'DASE DADOS - DISTANCIA'!J777</f>
        <v>0</v>
      </c>
      <c r="H756" s="2">
        <v>420</v>
      </c>
      <c r="I756" s="2" t="e">
        <f>IF(#REF!&lt;17200,DISTÂNCIA3[[#This Row],[KM PARA PAGAMENTO DOS FRETES]]*4.74,((#REF!/17200)*4.74)*DISTÂNCIA3[[#This Row],[KM PARA PAGAMENTO DOS FRETES]])</f>
        <v>#REF!</v>
      </c>
      <c r="J756" s="4" t="e">
        <f>DISTÂNCIA3[[#This Row],[Valor CTE]]/DISTÂNCIA3[[#This Row],[KM PARA PAGAMENTO DOS FRETES]]</f>
        <v>#DIV/0!</v>
      </c>
      <c r="K756" s="6">
        <f t="shared" si="26"/>
        <v>194.44</v>
      </c>
      <c r="L756" s="6">
        <f>0.92*DISTÂNCIA3[[#This Row],[KM distancia]]*4.578</f>
        <v>0</v>
      </c>
      <c r="M756" s="6">
        <f t="shared" si="27"/>
        <v>194.44</v>
      </c>
    </row>
    <row r="757" spans="1:13" hidden="1" x14ac:dyDescent="0.35">
      <c r="A757">
        <f>'DASE DADOS - DISTANCIA'!A778</f>
        <v>0</v>
      </c>
      <c r="B757">
        <f>'DASE DADOS - DISTANCIA'!B778</f>
        <v>0</v>
      </c>
      <c r="C757">
        <f>'DASE DADOS - DISTANCIA'!C778</f>
        <v>0</v>
      </c>
      <c r="D757">
        <f>'DASE DADOS - DISTANCIA'!E778</f>
        <v>0</v>
      </c>
      <c r="E757">
        <f>'DASE DADOS - DISTANCIA'!I778</f>
        <v>0</v>
      </c>
      <c r="F757" s="7">
        <f>DISTÂNCIA3[[#This Row],[KM PARA PAGAMENTO DOS FRETES]]/2</f>
        <v>0</v>
      </c>
      <c r="G757">
        <f>'DASE DADOS - DISTANCIA'!J778</f>
        <v>0</v>
      </c>
      <c r="H757" s="2">
        <v>420</v>
      </c>
      <c r="I757" s="2" t="e">
        <f>IF(#REF!&lt;17200,DISTÂNCIA3[[#This Row],[KM PARA PAGAMENTO DOS FRETES]]*4.74,((#REF!/17200)*4.74)*DISTÂNCIA3[[#This Row],[KM PARA PAGAMENTO DOS FRETES]])</f>
        <v>#REF!</v>
      </c>
      <c r="J757" s="4" t="e">
        <f>DISTÂNCIA3[[#This Row],[Valor CTE]]/DISTÂNCIA3[[#This Row],[KM PARA PAGAMENTO DOS FRETES]]</f>
        <v>#DIV/0!</v>
      </c>
      <c r="K757" s="6">
        <f t="shared" si="26"/>
        <v>194.44</v>
      </c>
      <c r="L757" s="6">
        <f>0.92*DISTÂNCIA3[[#This Row],[KM distancia]]*4.578</f>
        <v>0</v>
      </c>
      <c r="M757" s="6">
        <f t="shared" si="27"/>
        <v>194.44</v>
      </c>
    </row>
    <row r="758" spans="1:13" hidden="1" x14ac:dyDescent="0.35">
      <c r="A758">
        <f>'DASE DADOS - DISTANCIA'!A779</f>
        <v>0</v>
      </c>
      <c r="B758">
        <f>'DASE DADOS - DISTANCIA'!B779</f>
        <v>0</v>
      </c>
      <c r="C758">
        <f>'DASE DADOS - DISTANCIA'!C779</f>
        <v>0</v>
      </c>
      <c r="D758">
        <f>'DASE DADOS - DISTANCIA'!E779</f>
        <v>0</v>
      </c>
      <c r="E758">
        <f>'DASE DADOS - DISTANCIA'!I779</f>
        <v>0</v>
      </c>
      <c r="F758" s="7">
        <f>DISTÂNCIA3[[#This Row],[KM PARA PAGAMENTO DOS FRETES]]/2</f>
        <v>0</v>
      </c>
      <c r="G758">
        <f>'DASE DADOS - DISTANCIA'!J779</f>
        <v>0</v>
      </c>
      <c r="H758" s="2">
        <v>420</v>
      </c>
      <c r="I758" s="2" t="e">
        <f>IF(#REF!&lt;17200,DISTÂNCIA3[[#This Row],[KM PARA PAGAMENTO DOS FRETES]]*4.74,((#REF!/17200)*4.74)*DISTÂNCIA3[[#This Row],[KM PARA PAGAMENTO DOS FRETES]])</f>
        <v>#REF!</v>
      </c>
      <c r="J758" s="4" t="e">
        <f>DISTÂNCIA3[[#This Row],[Valor CTE]]/DISTÂNCIA3[[#This Row],[KM PARA PAGAMENTO DOS FRETES]]</f>
        <v>#DIV/0!</v>
      </c>
      <c r="K758" s="6">
        <f t="shared" si="26"/>
        <v>194.44</v>
      </c>
      <c r="L758" s="6">
        <f>0.92*DISTÂNCIA3[[#This Row],[KM distancia]]*4.578</f>
        <v>0</v>
      </c>
      <c r="M758" s="6">
        <f t="shared" si="27"/>
        <v>194.44</v>
      </c>
    </row>
    <row r="759" spans="1:13" hidden="1" x14ac:dyDescent="0.35">
      <c r="A759">
        <f>'DASE DADOS - DISTANCIA'!A780</f>
        <v>0</v>
      </c>
      <c r="B759">
        <f>'DASE DADOS - DISTANCIA'!B780</f>
        <v>0</v>
      </c>
      <c r="C759">
        <f>'DASE DADOS - DISTANCIA'!C780</f>
        <v>0</v>
      </c>
      <c r="D759">
        <f>'DASE DADOS - DISTANCIA'!E780</f>
        <v>0</v>
      </c>
      <c r="E759">
        <f>'DASE DADOS - DISTANCIA'!I780</f>
        <v>0</v>
      </c>
      <c r="F759" s="7">
        <f>DISTÂNCIA3[[#This Row],[KM PARA PAGAMENTO DOS FRETES]]/2</f>
        <v>0</v>
      </c>
      <c r="G759">
        <f>'DASE DADOS - DISTANCIA'!J780</f>
        <v>0</v>
      </c>
      <c r="H759" s="2">
        <v>420</v>
      </c>
      <c r="I759" s="2" t="e">
        <f>IF(#REF!&lt;17200,DISTÂNCIA3[[#This Row],[KM PARA PAGAMENTO DOS FRETES]]*4.74,((#REF!/17200)*4.74)*DISTÂNCIA3[[#This Row],[KM PARA PAGAMENTO DOS FRETES]])</f>
        <v>#REF!</v>
      </c>
      <c r="J759" s="4" t="e">
        <f>DISTÂNCIA3[[#This Row],[Valor CTE]]/DISTÂNCIA3[[#This Row],[KM PARA PAGAMENTO DOS FRETES]]</f>
        <v>#DIV/0!</v>
      </c>
      <c r="K759" s="6">
        <f t="shared" si="26"/>
        <v>194.44</v>
      </c>
      <c r="L759" s="6">
        <f>0.92*DISTÂNCIA3[[#This Row],[KM distancia]]*4.578</f>
        <v>0</v>
      </c>
      <c r="M759" s="6">
        <f t="shared" si="27"/>
        <v>194.44</v>
      </c>
    </row>
    <row r="760" spans="1:13" hidden="1" x14ac:dyDescent="0.35">
      <c r="A760">
        <f>'DASE DADOS - DISTANCIA'!A781</f>
        <v>0</v>
      </c>
      <c r="B760">
        <f>'DASE DADOS - DISTANCIA'!B781</f>
        <v>0</v>
      </c>
      <c r="C760">
        <f>'DASE DADOS - DISTANCIA'!C781</f>
        <v>0</v>
      </c>
      <c r="D760">
        <f>'DASE DADOS - DISTANCIA'!E781</f>
        <v>0</v>
      </c>
      <c r="E760">
        <f>'DASE DADOS - DISTANCIA'!I781</f>
        <v>0</v>
      </c>
      <c r="F760" s="7">
        <f>DISTÂNCIA3[[#This Row],[KM PARA PAGAMENTO DOS FRETES]]/2</f>
        <v>0</v>
      </c>
      <c r="G760">
        <f>'DASE DADOS - DISTANCIA'!J781</f>
        <v>0</v>
      </c>
      <c r="H760" s="2">
        <v>420</v>
      </c>
      <c r="I760" s="2" t="e">
        <f>IF(#REF!&lt;17200,DISTÂNCIA3[[#This Row],[KM PARA PAGAMENTO DOS FRETES]]*4.74,((#REF!/17200)*4.74)*DISTÂNCIA3[[#This Row],[KM PARA PAGAMENTO DOS FRETES]])</f>
        <v>#REF!</v>
      </c>
      <c r="J760" s="4" t="e">
        <f>DISTÂNCIA3[[#This Row],[Valor CTE]]/DISTÂNCIA3[[#This Row],[KM PARA PAGAMENTO DOS FRETES]]</f>
        <v>#DIV/0!</v>
      </c>
      <c r="K760" s="6">
        <f t="shared" si="26"/>
        <v>194.44</v>
      </c>
      <c r="L760" s="6">
        <f>0.92*DISTÂNCIA3[[#This Row],[KM distancia]]*4.578</f>
        <v>0</v>
      </c>
      <c r="M760" s="6">
        <f t="shared" si="27"/>
        <v>194.44</v>
      </c>
    </row>
    <row r="761" spans="1:13" hidden="1" x14ac:dyDescent="0.35">
      <c r="A761">
        <f>'DASE DADOS - DISTANCIA'!A782</f>
        <v>0</v>
      </c>
      <c r="B761">
        <f>'DASE DADOS - DISTANCIA'!B782</f>
        <v>0</v>
      </c>
      <c r="C761">
        <f>'DASE DADOS - DISTANCIA'!C782</f>
        <v>0</v>
      </c>
      <c r="D761">
        <f>'DASE DADOS - DISTANCIA'!E782</f>
        <v>0</v>
      </c>
      <c r="E761">
        <f>'DASE DADOS - DISTANCIA'!I782</f>
        <v>0</v>
      </c>
      <c r="F761" s="7">
        <f>DISTÂNCIA3[[#This Row],[KM PARA PAGAMENTO DOS FRETES]]/2</f>
        <v>0</v>
      </c>
      <c r="G761">
        <f>'DASE DADOS - DISTANCIA'!J782</f>
        <v>0</v>
      </c>
      <c r="H761" s="2">
        <v>420</v>
      </c>
      <c r="I761" s="2" t="e">
        <f>IF(#REF!&lt;17200,DISTÂNCIA3[[#This Row],[KM PARA PAGAMENTO DOS FRETES]]*4.74,((#REF!/17200)*4.74)*DISTÂNCIA3[[#This Row],[KM PARA PAGAMENTO DOS FRETES]])</f>
        <v>#REF!</v>
      </c>
      <c r="J761" s="4" t="e">
        <f>DISTÂNCIA3[[#This Row],[Valor CTE]]/DISTÂNCIA3[[#This Row],[KM PARA PAGAMENTO DOS FRETES]]</f>
        <v>#DIV/0!</v>
      </c>
      <c r="K761" s="6">
        <f t="shared" si="26"/>
        <v>194.44</v>
      </c>
      <c r="L761" s="6">
        <f>0.92*DISTÂNCIA3[[#This Row],[KM distancia]]*4.578</f>
        <v>0</v>
      </c>
      <c r="M761" s="6">
        <f t="shared" si="27"/>
        <v>194.44</v>
      </c>
    </row>
    <row r="762" spans="1:13" hidden="1" x14ac:dyDescent="0.35">
      <c r="A762">
        <f>'DASE DADOS - DISTANCIA'!A783</f>
        <v>0</v>
      </c>
      <c r="B762">
        <f>'DASE DADOS - DISTANCIA'!B783</f>
        <v>0</v>
      </c>
      <c r="C762">
        <f>'DASE DADOS - DISTANCIA'!C783</f>
        <v>0</v>
      </c>
      <c r="D762">
        <f>'DASE DADOS - DISTANCIA'!E783</f>
        <v>0</v>
      </c>
      <c r="E762">
        <f>'DASE DADOS - DISTANCIA'!I783</f>
        <v>0</v>
      </c>
      <c r="F762" s="7">
        <f>DISTÂNCIA3[[#This Row],[KM PARA PAGAMENTO DOS FRETES]]/2</f>
        <v>0</v>
      </c>
      <c r="G762">
        <f>'DASE DADOS - DISTANCIA'!J783</f>
        <v>0</v>
      </c>
      <c r="H762" s="2">
        <v>420</v>
      </c>
      <c r="I762" s="2" t="e">
        <f>IF(#REF!&lt;17200,DISTÂNCIA3[[#This Row],[KM PARA PAGAMENTO DOS FRETES]]*4.74,((#REF!/17200)*4.74)*DISTÂNCIA3[[#This Row],[KM PARA PAGAMENTO DOS FRETES]])</f>
        <v>#REF!</v>
      </c>
      <c r="J762" s="4" t="e">
        <f>DISTÂNCIA3[[#This Row],[Valor CTE]]/DISTÂNCIA3[[#This Row],[KM PARA PAGAMENTO DOS FRETES]]</f>
        <v>#DIV/0!</v>
      </c>
      <c r="K762" s="6">
        <f t="shared" si="26"/>
        <v>194.44</v>
      </c>
      <c r="L762" s="6">
        <f>0.92*DISTÂNCIA3[[#This Row],[KM distancia]]*4.578</f>
        <v>0</v>
      </c>
      <c r="M762" s="6">
        <f t="shared" si="27"/>
        <v>194.44</v>
      </c>
    </row>
    <row r="763" spans="1:13" hidden="1" x14ac:dyDescent="0.35">
      <c r="A763">
        <f>'DASE DADOS - DISTANCIA'!A784</f>
        <v>0</v>
      </c>
      <c r="B763">
        <f>'DASE DADOS - DISTANCIA'!B784</f>
        <v>0</v>
      </c>
      <c r="C763">
        <f>'DASE DADOS - DISTANCIA'!C784</f>
        <v>0</v>
      </c>
      <c r="D763">
        <f>'DASE DADOS - DISTANCIA'!E784</f>
        <v>0</v>
      </c>
      <c r="E763">
        <f>'DASE DADOS - DISTANCIA'!I784</f>
        <v>0</v>
      </c>
      <c r="F763" s="7">
        <f>DISTÂNCIA3[[#This Row],[KM PARA PAGAMENTO DOS FRETES]]/2</f>
        <v>0</v>
      </c>
      <c r="G763">
        <f>'DASE DADOS - DISTANCIA'!J784</f>
        <v>0</v>
      </c>
      <c r="H763" s="2">
        <v>420</v>
      </c>
      <c r="I763" s="2" t="e">
        <f>IF(#REF!&lt;17200,DISTÂNCIA3[[#This Row],[KM PARA PAGAMENTO DOS FRETES]]*4.74,((#REF!/17200)*4.74)*DISTÂNCIA3[[#This Row],[KM PARA PAGAMENTO DOS FRETES]])</f>
        <v>#REF!</v>
      </c>
      <c r="J763" s="4" t="e">
        <f>DISTÂNCIA3[[#This Row],[Valor CTE]]/DISTÂNCIA3[[#This Row],[KM PARA PAGAMENTO DOS FRETES]]</f>
        <v>#DIV/0!</v>
      </c>
      <c r="K763" s="6">
        <f t="shared" si="26"/>
        <v>194.44</v>
      </c>
      <c r="L763" s="6">
        <f>0.92*DISTÂNCIA3[[#This Row],[KM distancia]]*4.578</f>
        <v>0</v>
      </c>
      <c r="M763" s="6">
        <f t="shared" si="27"/>
        <v>194.44</v>
      </c>
    </row>
    <row r="764" spans="1:13" hidden="1" x14ac:dyDescent="0.35">
      <c r="A764">
        <f>'DASE DADOS - DISTANCIA'!A785</f>
        <v>0</v>
      </c>
      <c r="B764">
        <f>'DASE DADOS - DISTANCIA'!B785</f>
        <v>0</v>
      </c>
      <c r="C764">
        <f>'DASE DADOS - DISTANCIA'!C785</f>
        <v>0</v>
      </c>
      <c r="D764">
        <f>'DASE DADOS - DISTANCIA'!E785</f>
        <v>0</v>
      </c>
      <c r="E764">
        <f>'DASE DADOS - DISTANCIA'!I785</f>
        <v>0</v>
      </c>
      <c r="F764" s="7">
        <f>DISTÂNCIA3[[#This Row],[KM PARA PAGAMENTO DOS FRETES]]/2</f>
        <v>0</v>
      </c>
      <c r="G764">
        <f>'DASE DADOS - DISTANCIA'!J785</f>
        <v>0</v>
      </c>
      <c r="H764" s="2">
        <v>420</v>
      </c>
      <c r="I764" s="2" t="e">
        <f>IF(#REF!&lt;17200,DISTÂNCIA3[[#This Row],[KM PARA PAGAMENTO DOS FRETES]]*4.74,((#REF!/17200)*4.74)*DISTÂNCIA3[[#This Row],[KM PARA PAGAMENTO DOS FRETES]])</f>
        <v>#REF!</v>
      </c>
      <c r="J764" s="4" t="e">
        <f>DISTÂNCIA3[[#This Row],[Valor CTE]]/DISTÂNCIA3[[#This Row],[KM PARA PAGAMENTO DOS FRETES]]</f>
        <v>#DIV/0!</v>
      </c>
      <c r="K764" s="6">
        <f t="shared" si="26"/>
        <v>194.44</v>
      </c>
      <c r="L764" s="6">
        <f>0.92*DISTÂNCIA3[[#This Row],[KM distancia]]*4.578</f>
        <v>0</v>
      </c>
      <c r="M764" s="6">
        <f t="shared" si="27"/>
        <v>194.44</v>
      </c>
    </row>
    <row r="765" spans="1:13" hidden="1" x14ac:dyDescent="0.35">
      <c r="A765">
        <f>'DASE DADOS - DISTANCIA'!A786</f>
        <v>0</v>
      </c>
      <c r="B765">
        <f>'DASE DADOS - DISTANCIA'!B786</f>
        <v>0</v>
      </c>
      <c r="C765">
        <f>'DASE DADOS - DISTANCIA'!C786</f>
        <v>0</v>
      </c>
      <c r="D765">
        <f>'DASE DADOS - DISTANCIA'!E786</f>
        <v>0</v>
      </c>
      <c r="E765">
        <f>'DASE DADOS - DISTANCIA'!I786</f>
        <v>0</v>
      </c>
      <c r="F765" s="7">
        <f>DISTÂNCIA3[[#This Row],[KM PARA PAGAMENTO DOS FRETES]]/2</f>
        <v>0</v>
      </c>
      <c r="G765">
        <f>'DASE DADOS - DISTANCIA'!J786</f>
        <v>0</v>
      </c>
      <c r="H765" s="2">
        <v>420</v>
      </c>
      <c r="I765" s="2" t="e">
        <f>IF(#REF!&lt;17200,DISTÂNCIA3[[#This Row],[KM PARA PAGAMENTO DOS FRETES]]*4.74,((#REF!/17200)*4.74)*DISTÂNCIA3[[#This Row],[KM PARA PAGAMENTO DOS FRETES]])</f>
        <v>#REF!</v>
      </c>
      <c r="J765" s="4" t="e">
        <f>DISTÂNCIA3[[#This Row],[Valor CTE]]/DISTÂNCIA3[[#This Row],[KM PARA PAGAMENTO DOS FRETES]]</f>
        <v>#DIV/0!</v>
      </c>
      <c r="K765" s="6">
        <f t="shared" si="26"/>
        <v>194.44</v>
      </c>
      <c r="L765" s="6">
        <f>0.92*DISTÂNCIA3[[#This Row],[KM distancia]]*4.578</f>
        <v>0</v>
      </c>
      <c r="M765" s="6">
        <f t="shared" si="27"/>
        <v>194.44</v>
      </c>
    </row>
    <row r="766" spans="1:13" hidden="1" x14ac:dyDescent="0.35">
      <c r="A766">
        <f>'DASE DADOS - DISTANCIA'!A787</f>
        <v>0</v>
      </c>
      <c r="B766">
        <f>'DASE DADOS - DISTANCIA'!B787</f>
        <v>0</v>
      </c>
      <c r="C766">
        <f>'DASE DADOS - DISTANCIA'!C787</f>
        <v>0</v>
      </c>
      <c r="D766">
        <f>'DASE DADOS - DISTANCIA'!E787</f>
        <v>0</v>
      </c>
      <c r="E766">
        <f>'DASE DADOS - DISTANCIA'!I787</f>
        <v>0</v>
      </c>
      <c r="F766" s="7">
        <f>DISTÂNCIA3[[#This Row],[KM PARA PAGAMENTO DOS FRETES]]/2</f>
        <v>0</v>
      </c>
      <c r="G766">
        <f>'DASE DADOS - DISTANCIA'!J787</f>
        <v>0</v>
      </c>
      <c r="H766" s="2">
        <v>420</v>
      </c>
      <c r="I766" s="2" t="e">
        <f>IF(#REF!&lt;17200,DISTÂNCIA3[[#This Row],[KM PARA PAGAMENTO DOS FRETES]]*4.74,((#REF!/17200)*4.74)*DISTÂNCIA3[[#This Row],[KM PARA PAGAMENTO DOS FRETES]])</f>
        <v>#REF!</v>
      </c>
      <c r="J766" s="4" t="e">
        <f>DISTÂNCIA3[[#This Row],[Valor CTE]]/DISTÂNCIA3[[#This Row],[KM PARA PAGAMENTO DOS FRETES]]</f>
        <v>#DIV/0!</v>
      </c>
      <c r="K766" s="6">
        <f t="shared" si="26"/>
        <v>194.44</v>
      </c>
      <c r="L766" s="6">
        <f>0.92*DISTÂNCIA3[[#This Row],[KM distancia]]*4.578</f>
        <v>0</v>
      </c>
      <c r="M766" s="6">
        <f t="shared" si="27"/>
        <v>194.44</v>
      </c>
    </row>
    <row r="767" spans="1:13" hidden="1" x14ac:dyDescent="0.35">
      <c r="A767">
        <f>'DASE DADOS - DISTANCIA'!A788</f>
        <v>0</v>
      </c>
      <c r="B767">
        <f>'DASE DADOS - DISTANCIA'!B788</f>
        <v>0</v>
      </c>
      <c r="C767">
        <f>'DASE DADOS - DISTANCIA'!C788</f>
        <v>0</v>
      </c>
      <c r="D767">
        <f>'DASE DADOS - DISTANCIA'!E788</f>
        <v>0</v>
      </c>
      <c r="E767">
        <f>'DASE DADOS - DISTANCIA'!I788</f>
        <v>0</v>
      </c>
      <c r="F767" s="7">
        <f>DISTÂNCIA3[[#This Row],[KM PARA PAGAMENTO DOS FRETES]]/2</f>
        <v>0</v>
      </c>
      <c r="G767">
        <f>'DASE DADOS - DISTANCIA'!J788</f>
        <v>0</v>
      </c>
      <c r="H767" s="2">
        <v>420</v>
      </c>
      <c r="I767" s="2" t="e">
        <f>IF(#REF!&lt;17200,DISTÂNCIA3[[#This Row],[KM PARA PAGAMENTO DOS FRETES]]*4.74,((#REF!/17200)*4.74)*DISTÂNCIA3[[#This Row],[KM PARA PAGAMENTO DOS FRETES]])</f>
        <v>#REF!</v>
      </c>
      <c r="J767" s="4" t="e">
        <f>DISTÂNCIA3[[#This Row],[Valor CTE]]/DISTÂNCIA3[[#This Row],[KM PARA PAGAMENTO DOS FRETES]]</f>
        <v>#DIV/0!</v>
      </c>
      <c r="K767" s="6">
        <f t="shared" si="26"/>
        <v>194.44</v>
      </c>
      <c r="L767" s="6">
        <f>0.92*DISTÂNCIA3[[#This Row],[KM distancia]]*4.578</f>
        <v>0</v>
      </c>
      <c r="M767" s="6">
        <f t="shared" si="27"/>
        <v>194.44</v>
      </c>
    </row>
    <row r="768" spans="1:13" hidden="1" x14ac:dyDescent="0.35">
      <c r="A768">
        <f>'DASE DADOS - DISTANCIA'!A789</f>
        <v>0</v>
      </c>
      <c r="B768">
        <f>'DASE DADOS - DISTANCIA'!B789</f>
        <v>0</v>
      </c>
      <c r="C768">
        <f>'DASE DADOS - DISTANCIA'!C789</f>
        <v>0</v>
      </c>
      <c r="D768">
        <f>'DASE DADOS - DISTANCIA'!E789</f>
        <v>0</v>
      </c>
      <c r="E768">
        <f>'DASE DADOS - DISTANCIA'!I789</f>
        <v>0</v>
      </c>
      <c r="F768" s="7">
        <f>DISTÂNCIA3[[#This Row],[KM PARA PAGAMENTO DOS FRETES]]/2</f>
        <v>0</v>
      </c>
      <c r="G768">
        <f>'DASE DADOS - DISTANCIA'!J789</f>
        <v>0</v>
      </c>
      <c r="H768" s="2">
        <v>420</v>
      </c>
      <c r="I768" s="2" t="e">
        <f>IF(#REF!&lt;17200,DISTÂNCIA3[[#This Row],[KM PARA PAGAMENTO DOS FRETES]]*4.74,((#REF!/17200)*4.74)*DISTÂNCIA3[[#This Row],[KM PARA PAGAMENTO DOS FRETES]])</f>
        <v>#REF!</v>
      </c>
      <c r="J768" s="4" t="e">
        <f>DISTÂNCIA3[[#This Row],[Valor CTE]]/DISTÂNCIA3[[#This Row],[KM PARA PAGAMENTO DOS FRETES]]</f>
        <v>#DIV/0!</v>
      </c>
      <c r="K768" s="6">
        <f t="shared" si="26"/>
        <v>194.44</v>
      </c>
      <c r="L768" s="6">
        <f>0.92*DISTÂNCIA3[[#This Row],[KM distancia]]*4.578</f>
        <v>0</v>
      </c>
      <c r="M768" s="6">
        <f t="shared" si="27"/>
        <v>194.44</v>
      </c>
    </row>
    <row r="769" spans="1:13" hidden="1" x14ac:dyDescent="0.35">
      <c r="A769">
        <f>'DASE DADOS - DISTANCIA'!A790</f>
        <v>0</v>
      </c>
      <c r="B769">
        <f>'DASE DADOS - DISTANCIA'!B790</f>
        <v>0</v>
      </c>
      <c r="C769">
        <f>'DASE DADOS - DISTANCIA'!C790</f>
        <v>0</v>
      </c>
      <c r="D769">
        <f>'DASE DADOS - DISTANCIA'!E790</f>
        <v>0</v>
      </c>
      <c r="E769">
        <f>'DASE DADOS - DISTANCIA'!I790</f>
        <v>0</v>
      </c>
      <c r="F769" s="7">
        <f>DISTÂNCIA3[[#This Row],[KM PARA PAGAMENTO DOS FRETES]]/2</f>
        <v>0</v>
      </c>
      <c r="G769">
        <f>'DASE DADOS - DISTANCIA'!J790</f>
        <v>0</v>
      </c>
      <c r="H769" s="2">
        <v>420</v>
      </c>
      <c r="I769" s="2" t="e">
        <f>IF(#REF!&lt;17200,DISTÂNCIA3[[#This Row],[KM PARA PAGAMENTO DOS FRETES]]*4.74,((#REF!/17200)*4.74)*DISTÂNCIA3[[#This Row],[KM PARA PAGAMENTO DOS FRETES]])</f>
        <v>#REF!</v>
      </c>
      <c r="J769" s="4" t="e">
        <f>DISTÂNCIA3[[#This Row],[Valor CTE]]/DISTÂNCIA3[[#This Row],[KM PARA PAGAMENTO DOS FRETES]]</f>
        <v>#DIV/0!</v>
      </c>
      <c r="K769" s="6">
        <f t="shared" si="26"/>
        <v>194.44</v>
      </c>
      <c r="L769" s="6">
        <f>0.92*DISTÂNCIA3[[#This Row],[KM distancia]]*4.578</f>
        <v>0</v>
      </c>
      <c r="M769" s="6">
        <f t="shared" si="27"/>
        <v>194.44</v>
      </c>
    </row>
    <row r="770" spans="1:13" hidden="1" x14ac:dyDescent="0.35">
      <c r="A770">
        <f>'DASE DADOS - DISTANCIA'!A791</f>
        <v>0</v>
      </c>
      <c r="B770">
        <f>'DASE DADOS - DISTANCIA'!B791</f>
        <v>0</v>
      </c>
      <c r="C770">
        <f>'DASE DADOS - DISTANCIA'!C791</f>
        <v>0</v>
      </c>
      <c r="D770">
        <f>'DASE DADOS - DISTANCIA'!E791</f>
        <v>0</v>
      </c>
      <c r="E770">
        <f>'DASE DADOS - DISTANCIA'!I791</f>
        <v>0</v>
      </c>
      <c r="F770" s="7">
        <f>DISTÂNCIA3[[#This Row],[KM PARA PAGAMENTO DOS FRETES]]/2</f>
        <v>0</v>
      </c>
      <c r="G770">
        <f>'DASE DADOS - DISTANCIA'!J791</f>
        <v>0</v>
      </c>
      <c r="H770" s="2">
        <v>420</v>
      </c>
      <c r="I770" s="2" t="e">
        <f>IF(#REF!&lt;17200,DISTÂNCIA3[[#This Row],[KM PARA PAGAMENTO DOS FRETES]]*4.74,((#REF!/17200)*4.74)*DISTÂNCIA3[[#This Row],[KM PARA PAGAMENTO DOS FRETES]])</f>
        <v>#REF!</v>
      </c>
      <c r="J770" s="4" t="e">
        <f>DISTÂNCIA3[[#This Row],[Valor CTE]]/DISTÂNCIA3[[#This Row],[KM PARA PAGAMENTO DOS FRETES]]</f>
        <v>#DIV/0!</v>
      </c>
      <c r="K770" s="6">
        <f t="shared" ref="K770:K811" si="28">ROUND((F770*4.578)+194.44,2)</f>
        <v>194.44</v>
      </c>
      <c r="L770" s="6">
        <f>0.92*DISTÂNCIA3[[#This Row],[KM distancia]]*4.578</f>
        <v>0</v>
      </c>
      <c r="M770" s="6">
        <f t="shared" si="27"/>
        <v>194.44</v>
      </c>
    </row>
    <row r="771" spans="1:13" hidden="1" x14ac:dyDescent="0.35">
      <c r="A771">
        <f>'DASE DADOS - DISTANCIA'!A792</f>
        <v>0</v>
      </c>
      <c r="B771">
        <f>'DASE DADOS - DISTANCIA'!B792</f>
        <v>0</v>
      </c>
      <c r="C771">
        <f>'DASE DADOS - DISTANCIA'!C792</f>
        <v>0</v>
      </c>
      <c r="D771">
        <f>'DASE DADOS - DISTANCIA'!E792</f>
        <v>0</v>
      </c>
      <c r="E771">
        <f>'DASE DADOS - DISTANCIA'!I792</f>
        <v>0</v>
      </c>
      <c r="F771" s="7">
        <f>DISTÂNCIA3[[#This Row],[KM PARA PAGAMENTO DOS FRETES]]/2</f>
        <v>0</v>
      </c>
      <c r="G771">
        <f>'DASE DADOS - DISTANCIA'!J792</f>
        <v>0</v>
      </c>
      <c r="H771" s="2">
        <v>420</v>
      </c>
      <c r="I771" s="2" t="e">
        <f>IF(#REF!&lt;17200,DISTÂNCIA3[[#This Row],[KM PARA PAGAMENTO DOS FRETES]]*4.74,((#REF!/17200)*4.74)*DISTÂNCIA3[[#This Row],[KM PARA PAGAMENTO DOS FRETES]])</f>
        <v>#REF!</v>
      </c>
      <c r="J771" s="4" t="e">
        <f>DISTÂNCIA3[[#This Row],[Valor CTE]]/DISTÂNCIA3[[#This Row],[KM PARA PAGAMENTO DOS FRETES]]</f>
        <v>#DIV/0!</v>
      </c>
      <c r="K771" s="6">
        <f t="shared" si="28"/>
        <v>194.44</v>
      </c>
      <c r="L771" s="6">
        <f>0.92*DISTÂNCIA3[[#This Row],[KM distancia]]*4.578</f>
        <v>0</v>
      </c>
      <c r="M771" s="6">
        <f t="shared" ref="M771:M811" si="29">ROUND(((F771*4.578)+194.44)+(0.92*F771*4.578),2)</f>
        <v>194.44</v>
      </c>
    </row>
    <row r="772" spans="1:13" hidden="1" x14ac:dyDescent="0.35">
      <c r="A772">
        <f>'DASE DADOS - DISTANCIA'!A793</f>
        <v>0</v>
      </c>
      <c r="B772">
        <f>'DASE DADOS - DISTANCIA'!B793</f>
        <v>0</v>
      </c>
      <c r="C772">
        <f>'DASE DADOS - DISTANCIA'!C793</f>
        <v>0</v>
      </c>
      <c r="D772">
        <f>'DASE DADOS - DISTANCIA'!E793</f>
        <v>0</v>
      </c>
      <c r="E772">
        <f>'DASE DADOS - DISTANCIA'!I793</f>
        <v>0</v>
      </c>
      <c r="F772" s="7">
        <f>DISTÂNCIA3[[#This Row],[KM PARA PAGAMENTO DOS FRETES]]/2</f>
        <v>0</v>
      </c>
      <c r="G772">
        <f>'DASE DADOS - DISTANCIA'!J793</f>
        <v>0</v>
      </c>
      <c r="H772" s="2">
        <v>420</v>
      </c>
      <c r="I772" s="2" t="e">
        <f>IF(#REF!&lt;17200,DISTÂNCIA3[[#This Row],[KM PARA PAGAMENTO DOS FRETES]]*4.74,((#REF!/17200)*4.74)*DISTÂNCIA3[[#This Row],[KM PARA PAGAMENTO DOS FRETES]])</f>
        <v>#REF!</v>
      </c>
      <c r="J772" s="4" t="e">
        <f>DISTÂNCIA3[[#This Row],[Valor CTE]]/DISTÂNCIA3[[#This Row],[KM PARA PAGAMENTO DOS FRETES]]</f>
        <v>#DIV/0!</v>
      </c>
      <c r="K772" s="6">
        <f t="shared" si="28"/>
        <v>194.44</v>
      </c>
      <c r="L772" s="6">
        <f>0.92*DISTÂNCIA3[[#This Row],[KM distancia]]*4.578</f>
        <v>0</v>
      </c>
      <c r="M772" s="6">
        <f t="shared" si="29"/>
        <v>194.44</v>
      </c>
    </row>
    <row r="773" spans="1:13" hidden="1" x14ac:dyDescent="0.35">
      <c r="A773">
        <f>'DASE DADOS - DISTANCIA'!A794</f>
        <v>0</v>
      </c>
      <c r="B773">
        <f>'DASE DADOS - DISTANCIA'!B794</f>
        <v>0</v>
      </c>
      <c r="C773">
        <f>'DASE DADOS - DISTANCIA'!C794</f>
        <v>0</v>
      </c>
      <c r="D773">
        <f>'DASE DADOS - DISTANCIA'!E794</f>
        <v>0</v>
      </c>
      <c r="E773">
        <f>'DASE DADOS - DISTANCIA'!I794</f>
        <v>0</v>
      </c>
      <c r="F773" s="7">
        <f>DISTÂNCIA3[[#This Row],[KM PARA PAGAMENTO DOS FRETES]]/2</f>
        <v>0</v>
      </c>
      <c r="G773">
        <f>'DASE DADOS - DISTANCIA'!J794</f>
        <v>0</v>
      </c>
      <c r="H773" s="2">
        <v>420</v>
      </c>
      <c r="I773" s="2" t="e">
        <f>IF(#REF!&lt;17200,DISTÂNCIA3[[#This Row],[KM PARA PAGAMENTO DOS FRETES]]*4.74,((#REF!/17200)*4.74)*DISTÂNCIA3[[#This Row],[KM PARA PAGAMENTO DOS FRETES]])</f>
        <v>#REF!</v>
      </c>
      <c r="J773" s="4" t="e">
        <f>DISTÂNCIA3[[#This Row],[Valor CTE]]/DISTÂNCIA3[[#This Row],[KM PARA PAGAMENTO DOS FRETES]]</f>
        <v>#DIV/0!</v>
      </c>
      <c r="K773" s="6">
        <f t="shared" si="28"/>
        <v>194.44</v>
      </c>
      <c r="L773" s="6">
        <f>0.92*DISTÂNCIA3[[#This Row],[KM distancia]]*4.578</f>
        <v>0</v>
      </c>
      <c r="M773" s="6">
        <f t="shared" si="29"/>
        <v>194.44</v>
      </c>
    </row>
    <row r="774" spans="1:13" hidden="1" x14ac:dyDescent="0.35">
      <c r="A774">
        <f>'DASE DADOS - DISTANCIA'!A795</f>
        <v>0</v>
      </c>
      <c r="B774">
        <f>'DASE DADOS - DISTANCIA'!B795</f>
        <v>0</v>
      </c>
      <c r="C774">
        <f>'DASE DADOS - DISTANCIA'!C795</f>
        <v>0</v>
      </c>
      <c r="D774">
        <f>'DASE DADOS - DISTANCIA'!E795</f>
        <v>0</v>
      </c>
      <c r="E774">
        <f>'DASE DADOS - DISTANCIA'!I795</f>
        <v>0</v>
      </c>
      <c r="F774" s="7">
        <f>DISTÂNCIA3[[#This Row],[KM PARA PAGAMENTO DOS FRETES]]/2</f>
        <v>0</v>
      </c>
      <c r="G774">
        <f>'DASE DADOS - DISTANCIA'!J795</f>
        <v>0</v>
      </c>
      <c r="H774" s="2">
        <v>420</v>
      </c>
      <c r="I774" s="2" t="e">
        <f>IF(#REF!&lt;17200,DISTÂNCIA3[[#This Row],[KM PARA PAGAMENTO DOS FRETES]]*4.74,((#REF!/17200)*4.74)*DISTÂNCIA3[[#This Row],[KM PARA PAGAMENTO DOS FRETES]])</f>
        <v>#REF!</v>
      </c>
      <c r="J774" s="4" t="e">
        <f>DISTÂNCIA3[[#This Row],[Valor CTE]]/DISTÂNCIA3[[#This Row],[KM PARA PAGAMENTO DOS FRETES]]</f>
        <v>#DIV/0!</v>
      </c>
      <c r="K774" s="6">
        <f t="shared" si="28"/>
        <v>194.44</v>
      </c>
      <c r="L774" s="6">
        <f>0.92*DISTÂNCIA3[[#This Row],[KM distancia]]*4.578</f>
        <v>0</v>
      </c>
      <c r="M774" s="6">
        <f t="shared" si="29"/>
        <v>194.44</v>
      </c>
    </row>
    <row r="775" spans="1:13" hidden="1" x14ac:dyDescent="0.35">
      <c r="A775">
        <f>'DASE DADOS - DISTANCIA'!A796</f>
        <v>0</v>
      </c>
      <c r="B775">
        <f>'DASE DADOS - DISTANCIA'!B796</f>
        <v>0</v>
      </c>
      <c r="C775">
        <f>'DASE DADOS - DISTANCIA'!C796</f>
        <v>0</v>
      </c>
      <c r="D775">
        <f>'DASE DADOS - DISTANCIA'!E796</f>
        <v>0</v>
      </c>
      <c r="E775">
        <f>'DASE DADOS - DISTANCIA'!I796</f>
        <v>0</v>
      </c>
      <c r="F775" s="7">
        <f>DISTÂNCIA3[[#This Row],[KM PARA PAGAMENTO DOS FRETES]]/2</f>
        <v>0</v>
      </c>
      <c r="G775">
        <f>'DASE DADOS - DISTANCIA'!J796</f>
        <v>0</v>
      </c>
      <c r="H775" s="2">
        <v>420</v>
      </c>
      <c r="I775" s="2" t="e">
        <f>IF(#REF!&lt;17200,DISTÂNCIA3[[#This Row],[KM PARA PAGAMENTO DOS FRETES]]*4.74,((#REF!/17200)*4.74)*DISTÂNCIA3[[#This Row],[KM PARA PAGAMENTO DOS FRETES]])</f>
        <v>#REF!</v>
      </c>
      <c r="J775" s="4" t="e">
        <f>DISTÂNCIA3[[#This Row],[Valor CTE]]/DISTÂNCIA3[[#This Row],[KM PARA PAGAMENTO DOS FRETES]]</f>
        <v>#DIV/0!</v>
      </c>
      <c r="K775" s="6">
        <f t="shared" si="28"/>
        <v>194.44</v>
      </c>
      <c r="L775" s="6">
        <f>0.92*DISTÂNCIA3[[#This Row],[KM distancia]]*4.578</f>
        <v>0</v>
      </c>
      <c r="M775" s="6">
        <f t="shared" si="29"/>
        <v>194.44</v>
      </c>
    </row>
    <row r="776" spans="1:13" hidden="1" x14ac:dyDescent="0.35">
      <c r="A776">
        <f>'DASE DADOS - DISTANCIA'!A797</f>
        <v>0</v>
      </c>
      <c r="B776">
        <f>'DASE DADOS - DISTANCIA'!B797</f>
        <v>0</v>
      </c>
      <c r="C776">
        <f>'DASE DADOS - DISTANCIA'!C797</f>
        <v>0</v>
      </c>
      <c r="D776">
        <f>'DASE DADOS - DISTANCIA'!E797</f>
        <v>0</v>
      </c>
      <c r="E776">
        <f>'DASE DADOS - DISTANCIA'!I797</f>
        <v>0</v>
      </c>
      <c r="F776" s="7">
        <f>DISTÂNCIA3[[#This Row],[KM PARA PAGAMENTO DOS FRETES]]/2</f>
        <v>0</v>
      </c>
      <c r="G776">
        <f>'DASE DADOS - DISTANCIA'!J797</f>
        <v>0</v>
      </c>
      <c r="H776" s="2">
        <v>420</v>
      </c>
      <c r="I776" s="2" t="e">
        <f>IF(#REF!&lt;17200,DISTÂNCIA3[[#This Row],[KM PARA PAGAMENTO DOS FRETES]]*4.74,((#REF!/17200)*4.74)*DISTÂNCIA3[[#This Row],[KM PARA PAGAMENTO DOS FRETES]])</f>
        <v>#REF!</v>
      </c>
      <c r="J776" s="4" t="e">
        <f>DISTÂNCIA3[[#This Row],[Valor CTE]]/DISTÂNCIA3[[#This Row],[KM PARA PAGAMENTO DOS FRETES]]</f>
        <v>#DIV/0!</v>
      </c>
      <c r="K776" s="6">
        <f t="shared" si="28"/>
        <v>194.44</v>
      </c>
      <c r="L776" s="6">
        <f>0.92*DISTÂNCIA3[[#This Row],[KM distancia]]*4.578</f>
        <v>0</v>
      </c>
      <c r="M776" s="6">
        <f t="shared" si="29"/>
        <v>194.44</v>
      </c>
    </row>
    <row r="777" spans="1:13" hidden="1" x14ac:dyDescent="0.35">
      <c r="A777">
        <f>'DASE DADOS - DISTANCIA'!A798</f>
        <v>0</v>
      </c>
      <c r="B777">
        <f>'DASE DADOS - DISTANCIA'!B798</f>
        <v>0</v>
      </c>
      <c r="C777">
        <f>'DASE DADOS - DISTANCIA'!C798</f>
        <v>0</v>
      </c>
      <c r="D777">
        <f>'DASE DADOS - DISTANCIA'!E798</f>
        <v>0</v>
      </c>
      <c r="E777">
        <f>'DASE DADOS - DISTANCIA'!I798</f>
        <v>0</v>
      </c>
      <c r="F777" s="7">
        <f>DISTÂNCIA3[[#This Row],[KM PARA PAGAMENTO DOS FRETES]]/2</f>
        <v>0</v>
      </c>
      <c r="G777">
        <f>'DASE DADOS - DISTANCIA'!J798</f>
        <v>0</v>
      </c>
      <c r="H777" s="2">
        <v>420</v>
      </c>
      <c r="I777" s="2" t="e">
        <f>IF(#REF!&lt;17200,DISTÂNCIA3[[#This Row],[KM PARA PAGAMENTO DOS FRETES]]*4.74,((#REF!/17200)*4.74)*DISTÂNCIA3[[#This Row],[KM PARA PAGAMENTO DOS FRETES]])</f>
        <v>#REF!</v>
      </c>
      <c r="J777" s="4" t="e">
        <f>DISTÂNCIA3[[#This Row],[Valor CTE]]/DISTÂNCIA3[[#This Row],[KM PARA PAGAMENTO DOS FRETES]]</f>
        <v>#DIV/0!</v>
      </c>
      <c r="K777" s="6">
        <f t="shared" si="28"/>
        <v>194.44</v>
      </c>
      <c r="L777" s="6">
        <f>0.92*DISTÂNCIA3[[#This Row],[KM distancia]]*4.578</f>
        <v>0</v>
      </c>
      <c r="M777" s="6">
        <f t="shared" si="29"/>
        <v>194.44</v>
      </c>
    </row>
    <row r="778" spans="1:13" hidden="1" x14ac:dyDescent="0.35">
      <c r="A778">
        <f>'DASE DADOS - DISTANCIA'!A799</f>
        <v>0</v>
      </c>
      <c r="B778">
        <f>'DASE DADOS - DISTANCIA'!B799</f>
        <v>0</v>
      </c>
      <c r="C778">
        <f>'DASE DADOS - DISTANCIA'!C799</f>
        <v>0</v>
      </c>
      <c r="D778">
        <f>'DASE DADOS - DISTANCIA'!E799</f>
        <v>0</v>
      </c>
      <c r="E778">
        <f>'DASE DADOS - DISTANCIA'!I799</f>
        <v>0</v>
      </c>
      <c r="F778" s="7">
        <f>DISTÂNCIA3[[#This Row],[KM PARA PAGAMENTO DOS FRETES]]/2</f>
        <v>0</v>
      </c>
      <c r="G778">
        <f>'DASE DADOS - DISTANCIA'!J799</f>
        <v>0</v>
      </c>
      <c r="H778" s="2">
        <v>420</v>
      </c>
      <c r="I778" s="2" t="e">
        <f>IF(#REF!&lt;17200,DISTÂNCIA3[[#This Row],[KM PARA PAGAMENTO DOS FRETES]]*4.74,((#REF!/17200)*4.74)*DISTÂNCIA3[[#This Row],[KM PARA PAGAMENTO DOS FRETES]])</f>
        <v>#REF!</v>
      </c>
      <c r="J778" s="4" t="e">
        <f>DISTÂNCIA3[[#This Row],[Valor CTE]]/DISTÂNCIA3[[#This Row],[KM PARA PAGAMENTO DOS FRETES]]</f>
        <v>#DIV/0!</v>
      </c>
      <c r="K778" s="6">
        <f t="shared" si="28"/>
        <v>194.44</v>
      </c>
      <c r="L778" s="6">
        <f>0.92*DISTÂNCIA3[[#This Row],[KM distancia]]*4.578</f>
        <v>0</v>
      </c>
      <c r="M778" s="6">
        <f t="shared" si="29"/>
        <v>194.44</v>
      </c>
    </row>
    <row r="779" spans="1:13" hidden="1" x14ac:dyDescent="0.35">
      <c r="A779">
        <f>'DASE DADOS - DISTANCIA'!A800</f>
        <v>0</v>
      </c>
      <c r="B779">
        <f>'DASE DADOS - DISTANCIA'!B800</f>
        <v>0</v>
      </c>
      <c r="C779">
        <f>'DASE DADOS - DISTANCIA'!C800</f>
        <v>0</v>
      </c>
      <c r="D779">
        <f>'DASE DADOS - DISTANCIA'!E800</f>
        <v>0</v>
      </c>
      <c r="E779">
        <f>'DASE DADOS - DISTANCIA'!I800</f>
        <v>0</v>
      </c>
      <c r="F779" s="7">
        <f>DISTÂNCIA3[[#This Row],[KM PARA PAGAMENTO DOS FRETES]]/2</f>
        <v>0</v>
      </c>
      <c r="G779">
        <f>'DASE DADOS - DISTANCIA'!J800</f>
        <v>0</v>
      </c>
      <c r="H779" s="2">
        <v>420</v>
      </c>
      <c r="I779" s="2" t="e">
        <f>IF(#REF!&lt;17200,DISTÂNCIA3[[#This Row],[KM PARA PAGAMENTO DOS FRETES]]*4.74,((#REF!/17200)*4.74)*DISTÂNCIA3[[#This Row],[KM PARA PAGAMENTO DOS FRETES]])</f>
        <v>#REF!</v>
      </c>
      <c r="J779" s="4" t="e">
        <f>DISTÂNCIA3[[#This Row],[Valor CTE]]/DISTÂNCIA3[[#This Row],[KM PARA PAGAMENTO DOS FRETES]]</f>
        <v>#DIV/0!</v>
      </c>
      <c r="K779" s="6">
        <f t="shared" si="28"/>
        <v>194.44</v>
      </c>
      <c r="L779" s="6">
        <f>0.92*DISTÂNCIA3[[#This Row],[KM distancia]]*4.578</f>
        <v>0</v>
      </c>
      <c r="M779" s="6">
        <f t="shared" si="29"/>
        <v>194.44</v>
      </c>
    </row>
    <row r="780" spans="1:13" hidden="1" x14ac:dyDescent="0.35">
      <c r="A780">
        <f>'DASE DADOS - DISTANCIA'!A801</f>
        <v>0</v>
      </c>
      <c r="B780">
        <f>'DASE DADOS - DISTANCIA'!B801</f>
        <v>0</v>
      </c>
      <c r="C780">
        <f>'DASE DADOS - DISTANCIA'!C801</f>
        <v>0</v>
      </c>
      <c r="D780">
        <f>'DASE DADOS - DISTANCIA'!E801</f>
        <v>0</v>
      </c>
      <c r="E780">
        <f>'DASE DADOS - DISTANCIA'!I801</f>
        <v>0</v>
      </c>
      <c r="F780" s="7">
        <f>DISTÂNCIA3[[#This Row],[KM PARA PAGAMENTO DOS FRETES]]/2</f>
        <v>0</v>
      </c>
      <c r="G780">
        <f>'DASE DADOS - DISTANCIA'!J801</f>
        <v>0</v>
      </c>
      <c r="H780" s="2">
        <v>420</v>
      </c>
      <c r="I780" s="2" t="e">
        <f>IF(#REF!&lt;17200,DISTÂNCIA3[[#This Row],[KM PARA PAGAMENTO DOS FRETES]]*4.74,((#REF!/17200)*4.74)*DISTÂNCIA3[[#This Row],[KM PARA PAGAMENTO DOS FRETES]])</f>
        <v>#REF!</v>
      </c>
      <c r="J780" s="4" t="e">
        <f>DISTÂNCIA3[[#This Row],[Valor CTE]]/DISTÂNCIA3[[#This Row],[KM PARA PAGAMENTO DOS FRETES]]</f>
        <v>#DIV/0!</v>
      </c>
      <c r="K780" s="6">
        <f t="shared" si="28"/>
        <v>194.44</v>
      </c>
      <c r="L780" s="6">
        <f>0.92*DISTÂNCIA3[[#This Row],[KM distancia]]*4.578</f>
        <v>0</v>
      </c>
      <c r="M780" s="6">
        <f t="shared" si="29"/>
        <v>194.44</v>
      </c>
    </row>
    <row r="781" spans="1:13" hidden="1" x14ac:dyDescent="0.35">
      <c r="A781">
        <f>'DASE DADOS - DISTANCIA'!A802</f>
        <v>0</v>
      </c>
      <c r="B781">
        <f>'DASE DADOS - DISTANCIA'!B802</f>
        <v>0</v>
      </c>
      <c r="C781">
        <f>'DASE DADOS - DISTANCIA'!C802</f>
        <v>0</v>
      </c>
      <c r="D781">
        <f>'DASE DADOS - DISTANCIA'!E802</f>
        <v>0</v>
      </c>
      <c r="E781">
        <f>'DASE DADOS - DISTANCIA'!I802</f>
        <v>0</v>
      </c>
      <c r="F781" s="7">
        <f>DISTÂNCIA3[[#This Row],[KM PARA PAGAMENTO DOS FRETES]]/2</f>
        <v>0</v>
      </c>
      <c r="G781">
        <f>'DASE DADOS - DISTANCIA'!J802</f>
        <v>0</v>
      </c>
      <c r="H781" s="2">
        <v>420</v>
      </c>
      <c r="I781" s="2" t="e">
        <f>IF(#REF!&lt;17200,DISTÂNCIA3[[#This Row],[KM PARA PAGAMENTO DOS FRETES]]*4.74,((#REF!/17200)*4.74)*DISTÂNCIA3[[#This Row],[KM PARA PAGAMENTO DOS FRETES]])</f>
        <v>#REF!</v>
      </c>
      <c r="J781" s="4" t="e">
        <f>DISTÂNCIA3[[#This Row],[Valor CTE]]/DISTÂNCIA3[[#This Row],[KM PARA PAGAMENTO DOS FRETES]]</f>
        <v>#DIV/0!</v>
      </c>
      <c r="K781" s="6">
        <f t="shared" si="28"/>
        <v>194.44</v>
      </c>
      <c r="L781" s="6">
        <f>0.92*DISTÂNCIA3[[#This Row],[KM distancia]]*4.578</f>
        <v>0</v>
      </c>
      <c r="M781" s="6">
        <f t="shared" si="29"/>
        <v>194.44</v>
      </c>
    </row>
    <row r="782" spans="1:13" hidden="1" x14ac:dyDescent="0.35">
      <c r="A782">
        <f>'DASE DADOS - DISTANCIA'!A803</f>
        <v>0</v>
      </c>
      <c r="B782">
        <f>'DASE DADOS - DISTANCIA'!B803</f>
        <v>0</v>
      </c>
      <c r="C782">
        <f>'DASE DADOS - DISTANCIA'!C803</f>
        <v>0</v>
      </c>
      <c r="D782">
        <f>'DASE DADOS - DISTANCIA'!E803</f>
        <v>0</v>
      </c>
      <c r="E782">
        <f>'DASE DADOS - DISTANCIA'!I803</f>
        <v>0</v>
      </c>
      <c r="F782" s="7">
        <f>DISTÂNCIA3[[#This Row],[KM PARA PAGAMENTO DOS FRETES]]/2</f>
        <v>0</v>
      </c>
      <c r="G782">
        <f>'DASE DADOS - DISTANCIA'!J803</f>
        <v>0</v>
      </c>
      <c r="H782" s="2">
        <v>420</v>
      </c>
      <c r="I782" s="2" t="e">
        <f>IF(#REF!&lt;17200,DISTÂNCIA3[[#This Row],[KM PARA PAGAMENTO DOS FRETES]]*4.74,((#REF!/17200)*4.74)*DISTÂNCIA3[[#This Row],[KM PARA PAGAMENTO DOS FRETES]])</f>
        <v>#REF!</v>
      </c>
      <c r="J782" s="4" t="e">
        <f>DISTÂNCIA3[[#This Row],[Valor CTE]]/DISTÂNCIA3[[#This Row],[KM PARA PAGAMENTO DOS FRETES]]</f>
        <v>#DIV/0!</v>
      </c>
      <c r="K782" s="6">
        <f t="shared" si="28"/>
        <v>194.44</v>
      </c>
      <c r="L782" s="6">
        <f>0.92*DISTÂNCIA3[[#This Row],[KM distancia]]*4.578</f>
        <v>0</v>
      </c>
      <c r="M782" s="6">
        <f t="shared" si="29"/>
        <v>194.44</v>
      </c>
    </row>
    <row r="783" spans="1:13" hidden="1" x14ac:dyDescent="0.35">
      <c r="A783">
        <f>'DASE DADOS - DISTANCIA'!A804</f>
        <v>0</v>
      </c>
      <c r="B783">
        <f>'DASE DADOS - DISTANCIA'!B804</f>
        <v>0</v>
      </c>
      <c r="C783">
        <f>'DASE DADOS - DISTANCIA'!C804</f>
        <v>0</v>
      </c>
      <c r="D783">
        <f>'DASE DADOS - DISTANCIA'!E804</f>
        <v>0</v>
      </c>
      <c r="E783">
        <f>'DASE DADOS - DISTANCIA'!I804</f>
        <v>0</v>
      </c>
      <c r="F783" s="7">
        <f>DISTÂNCIA3[[#This Row],[KM PARA PAGAMENTO DOS FRETES]]/2</f>
        <v>0</v>
      </c>
      <c r="G783">
        <f>'DASE DADOS - DISTANCIA'!J804</f>
        <v>0</v>
      </c>
      <c r="H783" s="2">
        <v>420</v>
      </c>
      <c r="I783" s="2" t="e">
        <f>IF(#REF!&lt;17200,DISTÂNCIA3[[#This Row],[KM PARA PAGAMENTO DOS FRETES]]*4.74,((#REF!/17200)*4.74)*DISTÂNCIA3[[#This Row],[KM PARA PAGAMENTO DOS FRETES]])</f>
        <v>#REF!</v>
      </c>
      <c r="J783" s="4" t="e">
        <f>DISTÂNCIA3[[#This Row],[Valor CTE]]/DISTÂNCIA3[[#This Row],[KM PARA PAGAMENTO DOS FRETES]]</f>
        <v>#DIV/0!</v>
      </c>
      <c r="K783" s="6">
        <f t="shared" si="28"/>
        <v>194.44</v>
      </c>
      <c r="L783" s="6">
        <f>0.92*DISTÂNCIA3[[#This Row],[KM distancia]]*4.578</f>
        <v>0</v>
      </c>
      <c r="M783" s="6">
        <f t="shared" si="29"/>
        <v>194.44</v>
      </c>
    </row>
    <row r="784" spans="1:13" hidden="1" x14ac:dyDescent="0.35">
      <c r="A784">
        <f>'DASE DADOS - DISTANCIA'!A805</f>
        <v>0</v>
      </c>
      <c r="B784">
        <f>'DASE DADOS - DISTANCIA'!B805</f>
        <v>0</v>
      </c>
      <c r="C784">
        <f>'DASE DADOS - DISTANCIA'!C805</f>
        <v>0</v>
      </c>
      <c r="D784">
        <f>'DASE DADOS - DISTANCIA'!E805</f>
        <v>0</v>
      </c>
      <c r="E784">
        <f>'DASE DADOS - DISTANCIA'!I805</f>
        <v>0</v>
      </c>
      <c r="F784" s="7">
        <f>DISTÂNCIA3[[#This Row],[KM PARA PAGAMENTO DOS FRETES]]/2</f>
        <v>0</v>
      </c>
      <c r="G784">
        <f>'DASE DADOS - DISTANCIA'!J805</f>
        <v>0</v>
      </c>
      <c r="H784" s="2">
        <v>420</v>
      </c>
      <c r="I784" s="2" t="e">
        <f>IF(#REF!&lt;17200,DISTÂNCIA3[[#This Row],[KM PARA PAGAMENTO DOS FRETES]]*4.74,((#REF!/17200)*4.74)*DISTÂNCIA3[[#This Row],[KM PARA PAGAMENTO DOS FRETES]])</f>
        <v>#REF!</v>
      </c>
      <c r="J784" s="4" t="e">
        <f>DISTÂNCIA3[[#This Row],[Valor CTE]]/DISTÂNCIA3[[#This Row],[KM PARA PAGAMENTO DOS FRETES]]</f>
        <v>#DIV/0!</v>
      </c>
      <c r="K784" s="6">
        <f t="shared" si="28"/>
        <v>194.44</v>
      </c>
      <c r="L784" s="6">
        <f>0.92*DISTÂNCIA3[[#This Row],[KM distancia]]*4.578</f>
        <v>0</v>
      </c>
      <c r="M784" s="6">
        <f t="shared" si="29"/>
        <v>194.44</v>
      </c>
    </row>
    <row r="785" spans="1:13" hidden="1" x14ac:dyDescent="0.35">
      <c r="A785">
        <f>'DASE DADOS - DISTANCIA'!A806</f>
        <v>0</v>
      </c>
      <c r="B785">
        <f>'DASE DADOS - DISTANCIA'!B806</f>
        <v>0</v>
      </c>
      <c r="C785">
        <f>'DASE DADOS - DISTANCIA'!C806</f>
        <v>0</v>
      </c>
      <c r="D785">
        <f>'DASE DADOS - DISTANCIA'!E806</f>
        <v>0</v>
      </c>
      <c r="E785">
        <f>'DASE DADOS - DISTANCIA'!I806</f>
        <v>0</v>
      </c>
      <c r="F785" s="7">
        <f>DISTÂNCIA3[[#This Row],[KM PARA PAGAMENTO DOS FRETES]]/2</f>
        <v>0</v>
      </c>
      <c r="G785">
        <f>'DASE DADOS - DISTANCIA'!J806</f>
        <v>0</v>
      </c>
      <c r="H785" s="2">
        <v>420</v>
      </c>
      <c r="I785" s="2" t="e">
        <f>IF(#REF!&lt;17200,DISTÂNCIA3[[#This Row],[KM PARA PAGAMENTO DOS FRETES]]*4.74,((#REF!/17200)*4.74)*DISTÂNCIA3[[#This Row],[KM PARA PAGAMENTO DOS FRETES]])</f>
        <v>#REF!</v>
      </c>
      <c r="J785" s="4" t="e">
        <f>DISTÂNCIA3[[#This Row],[Valor CTE]]/DISTÂNCIA3[[#This Row],[KM PARA PAGAMENTO DOS FRETES]]</f>
        <v>#DIV/0!</v>
      </c>
      <c r="K785" s="6">
        <f t="shared" si="28"/>
        <v>194.44</v>
      </c>
      <c r="L785" s="6">
        <f>0.92*DISTÂNCIA3[[#This Row],[KM distancia]]*4.578</f>
        <v>0</v>
      </c>
      <c r="M785" s="6">
        <f t="shared" si="29"/>
        <v>194.44</v>
      </c>
    </row>
    <row r="786" spans="1:13" hidden="1" x14ac:dyDescent="0.35">
      <c r="A786">
        <f>'DASE DADOS - DISTANCIA'!A807</f>
        <v>0</v>
      </c>
      <c r="B786">
        <f>'DASE DADOS - DISTANCIA'!B807</f>
        <v>0</v>
      </c>
      <c r="C786">
        <f>'DASE DADOS - DISTANCIA'!C807</f>
        <v>0</v>
      </c>
      <c r="D786">
        <f>'DASE DADOS - DISTANCIA'!E807</f>
        <v>0</v>
      </c>
      <c r="E786">
        <f>'DASE DADOS - DISTANCIA'!I807</f>
        <v>0</v>
      </c>
      <c r="F786" s="7">
        <f>DISTÂNCIA3[[#This Row],[KM PARA PAGAMENTO DOS FRETES]]/2</f>
        <v>0</v>
      </c>
      <c r="G786">
        <f>'DASE DADOS - DISTANCIA'!J807</f>
        <v>0</v>
      </c>
      <c r="H786" s="2">
        <v>420</v>
      </c>
      <c r="I786" s="2" t="e">
        <f>IF(#REF!&lt;17200,DISTÂNCIA3[[#This Row],[KM PARA PAGAMENTO DOS FRETES]]*4.74,((#REF!/17200)*4.74)*DISTÂNCIA3[[#This Row],[KM PARA PAGAMENTO DOS FRETES]])</f>
        <v>#REF!</v>
      </c>
      <c r="J786" s="4" t="e">
        <f>DISTÂNCIA3[[#This Row],[Valor CTE]]/DISTÂNCIA3[[#This Row],[KM PARA PAGAMENTO DOS FRETES]]</f>
        <v>#DIV/0!</v>
      </c>
      <c r="K786" s="6">
        <f t="shared" si="28"/>
        <v>194.44</v>
      </c>
      <c r="L786" s="6">
        <f>0.92*DISTÂNCIA3[[#This Row],[KM distancia]]*4.578</f>
        <v>0</v>
      </c>
      <c r="M786" s="6">
        <f t="shared" si="29"/>
        <v>194.44</v>
      </c>
    </row>
    <row r="787" spans="1:13" hidden="1" x14ac:dyDescent="0.35">
      <c r="A787">
        <f>'DASE DADOS - DISTANCIA'!A808</f>
        <v>0</v>
      </c>
      <c r="B787">
        <f>'DASE DADOS - DISTANCIA'!B808</f>
        <v>0</v>
      </c>
      <c r="C787">
        <f>'DASE DADOS - DISTANCIA'!C808</f>
        <v>0</v>
      </c>
      <c r="D787">
        <f>'DASE DADOS - DISTANCIA'!E808</f>
        <v>0</v>
      </c>
      <c r="E787">
        <f>'DASE DADOS - DISTANCIA'!I808</f>
        <v>0</v>
      </c>
      <c r="F787" s="7">
        <f>DISTÂNCIA3[[#This Row],[KM PARA PAGAMENTO DOS FRETES]]/2</f>
        <v>0</v>
      </c>
      <c r="G787">
        <f>'DASE DADOS - DISTANCIA'!J808</f>
        <v>0</v>
      </c>
      <c r="H787" s="2">
        <v>420</v>
      </c>
      <c r="I787" s="2" t="e">
        <f>IF(#REF!&lt;17200,DISTÂNCIA3[[#This Row],[KM PARA PAGAMENTO DOS FRETES]]*4.74,((#REF!/17200)*4.74)*DISTÂNCIA3[[#This Row],[KM PARA PAGAMENTO DOS FRETES]])</f>
        <v>#REF!</v>
      </c>
      <c r="J787" s="4" t="e">
        <f>DISTÂNCIA3[[#This Row],[Valor CTE]]/DISTÂNCIA3[[#This Row],[KM PARA PAGAMENTO DOS FRETES]]</f>
        <v>#DIV/0!</v>
      </c>
      <c r="K787" s="6">
        <f t="shared" si="28"/>
        <v>194.44</v>
      </c>
      <c r="L787" s="6">
        <f>0.92*DISTÂNCIA3[[#This Row],[KM distancia]]*4.578</f>
        <v>0</v>
      </c>
      <c r="M787" s="6">
        <f t="shared" si="29"/>
        <v>194.44</v>
      </c>
    </row>
    <row r="788" spans="1:13" hidden="1" x14ac:dyDescent="0.35">
      <c r="A788">
        <f>'DASE DADOS - DISTANCIA'!A809</f>
        <v>0</v>
      </c>
      <c r="B788">
        <f>'DASE DADOS - DISTANCIA'!B809</f>
        <v>0</v>
      </c>
      <c r="C788">
        <f>'DASE DADOS - DISTANCIA'!C809</f>
        <v>0</v>
      </c>
      <c r="D788">
        <f>'DASE DADOS - DISTANCIA'!E809</f>
        <v>0</v>
      </c>
      <c r="E788">
        <f>'DASE DADOS - DISTANCIA'!I809</f>
        <v>0</v>
      </c>
      <c r="F788" s="7">
        <f>DISTÂNCIA3[[#This Row],[KM PARA PAGAMENTO DOS FRETES]]/2</f>
        <v>0</v>
      </c>
      <c r="G788">
        <f>'DASE DADOS - DISTANCIA'!J809</f>
        <v>0</v>
      </c>
      <c r="H788" s="2">
        <v>420</v>
      </c>
      <c r="I788" s="2" t="e">
        <f>IF(#REF!&lt;17200,DISTÂNCIA3[[#This Row],[KM PARA PAGAMENTO DOS FRETES]]*4.74,((#REF!/17200)*4.74)*DISTÂNCIA3[[#This Row],[KM PARA PAGAMENTO DOS FRETES]])</f>
        <v>#REF!</v>
      </c>
      <c r="J788" s="4" t="e">
        <f>DISTÂNCIA3[[#This Row],[Valor CTE]]/DISTÂNCIA3[[#This Row],[KM PARA PAGAMENTO DOS FRETES]]</f>
        <v>#DIV/0!</v>
      </c>
      <c r="K788" s="6">
        <f t="shared" si="28"/>
        <v>194.44</v>
      </c>
      <c r="L788" s="6">
        <f>0.92*DISTÂNCIA3[[#This Row],[KM distancia]]*4.578</f>
        <v>0</v>
      </c>
      <c r="M788" s="6">
        <f t="shared" si="29"/>
        <v>194.44</v>
      </c>
    </row>
    <row r="789" spans="1:13" hidden="1" x14ac:dyDescent="0.35">
      <c r="A789">
        <f>'DASE DADOS - DISTANCIA'!A810</f>
        <v>0</v>
      </c>
      <c r="B789">
        <f>'DASE DADOS - DISTANCIA'!B810</f>
        <v>0</v>
      </c>
      <c r="C789">
        <f>'DASE DADOS - DISTANCIA'!C810</f>
        <v>0</v>
      </c>
      <c r="D789">
        <f>'DASE DADOS - DISTANCIA'!E810</f>
        <v>0</v>
      </c>
      <c r="E789">
        <f>'DASE DADOS - DISTANCIA'!I810</f>
        <v>0</v>
      </c>
      <c r="F789" s="7">
        <f>DISTÂNCIA3[[#This Row],[KM PARA PAGAMENTO DOS FRETES]]/2</f>
        <v>0</v>
      </c>
      <c r="G789">
        <f>'DASE DADOS - DISTANCIA'!J810</f>
        <v>0</v>
      </c>
      <c r="H789" s="2">
        <v>420</v>
      </c>
      <c r="I789" s="2" t="e">
        <f>IF(#REF!&lt;17200,DISTÂNCIA3[[#This Row],[KM PARA PAGAMENTO DOS FRETES]]*4.74,((#REF!/17200)*4.74)*DISTÂNCIA3[[#This Row],[KM PARA PAGAMENTO DOS FRETES]])</f>
        <v>#REF!</v>
      </c>
      <c r="J789" s="4" t="e">
        <f>DISTÂNCIA3[[#This Row],[Valor CTE]]/DISTÂNCIA3[[#This Row],[KM PARA PAGAMENTO DOS FRETES]]</f>
        <v>#DIV/0!</v>
      </c>
      <c r="K789" s="6">
        <f t="shared" si="28"/>
        <v>194.44</v>
      </c>
      <c r="L789" s="6">
        <f>0.92*DISTÂNCIA3[[#This Row],[KM distancia]]*4.578</f>
        <v>0</v>
      </c>
      <c r="M789" s="6">
        <f t="shared" si="29"/>
        <v>194.44</v>
      </c>
    </row>
    <row r="790" spans="1:13" hidden="1" x14ac:dyDescent="0.35">
      <c r="A790">
        <f>'DASE DADOS - DISTANCIA'!A811</f>
        <v>0</v>
      </c>
      <c r="B790">
        <f>'DASE DADOS - DISTANCIA'!B811</f>
        <v>0</v>
      </c>
      <c r="C790">
        <f>'DASE DADOS - DISTANCIA'!C811</f>
        <v>0</v>
      </c>
      <c r="D790">
        <f>'DASE DADOS - DISTANCIA'!E811</f>
        <v>0</v>
      </c>
      <c r="E790">
        <f>'DASE DADOS - DISTANCIA'!I811</f>
        <v>0</v>
      </c>
      <c r="F790" s="7">
        <f>DISTÂNCIA3[[#This Row],[KM PARA PAGAMENTO DOS FRETES]]/2</f>
        <v>0</v>
      </c>
      <c r="G790">
        <f>'DASE DADOS - DISTANCIA'!J811</f>
        <v>0</v>
      </c>
      <c r="H790" s="2">
        <v>420</v>
      </c>
      <c r="I790" s="2" t="e">
        <f>IF(#REF!&lt;17200,DISTÂNCIA3[[#This Row],[KM PARA PAGAMENTO DOS FRETES]]*4.74,((#REF!/17200)*4.74)*DISTÂNCIA3[[#This Row],[KM PARA PAGAMENTO DOS FRETES]])</f>
        <v>#REF!</v>
      </c>
      <c r="J790" s="4" t="e">
        <f>DISTÂNCIA3[[#This Row],[Valor CTE]]/DISTÂNCIA3[[#This Row],[KM PARA PAGAMENTO DOS FRETES]]</f>
        <v>#DIV/0!</v>
      </c>
      <c r="K790" s="6">
        <f t="shared" si="28"/>
        <v>194.44</v>
      </c>
      <c r="L790" s="6">
        <f>0.92*DISTÂNCIA3[[#This Row],[KM distancia]]*4.578</f>
        <v>0</v>
      </c>
      <c r="M790" s="6">
        <f t="shared" si="29"/>
        <v>194.44</v>
      </c>
    </row>
    <row r="791" spans="1:13" hidden="1" x14ac:dyDescent="0.35">
      <c r="A791">
        <f>'DASE DADOS - DISTANCIA'!A812</f>
        <v>0</v>
      </c>
      <c r="B791">
        <f>'DASE DADOS - DISTANCIA'!B812</f>
        <v>0</v>
      </c>
      <c r="C791">
        <f>'DASE DADOS - DISTANCIA'!C812</f>
        <v>0</v>
      </c>
      <c r="D791">
        <f>'DASE DADOS - DISTANCIA'!E812</f>
        <v>0</v>
      </c>
      <c r="E791">
        <f>'DASE DADOS - DISTANCIA'!I812</f>
        <v>0</v>
      </c>
      <c r="F791" s="7">
        <f>DISTÂNCIA3[[#This Row],[KM PARA PAGAMENTO DOS FRETES]]/2</f>
        <v>0</v>
      </c>
      <c r="G791">
        <f>'DASE DADOS - DISTANCIA'!J812</f>
        <v>0</v>
      </c>
      <c r="H791" s="2">
        <v>420</v>
      </c>
      <c r="I791" s="2" t="e">
        <f>IF(#REF!&lt;17200,DISTÂNCIA3[[#This Row],[KM PARA PAGAMENTO DOS FRETES]]*4.74,((#REF!/17200)*4.74)*DISTÂNCIA3[[#This Row],[KM PARA PAGAMENTO DOS FRETES]])</f>
        <v>#REF!</v>
      </c>
      <c r="J791" s="4" t="e">
        <f>DISTÂNCIA3[[#This Row],[Valor CTE]]/DISTÂNCIA3[[#This Row],[KM PARA PAGAMENTO DOS FRETES]]</f>
        <v>#DIV/0!</v>
      </c>
      <c r="K791" s="6">
        <f t="shared" si="28"/>
        <v>194.44</v>
      </c>
      <c r="L791" s="6">
        <f>0.92*DISTÂNCIA3[[#This Row],[KM distancia]]*4.578</f>
        <v>0</v>
      </c>
      <c r="M791" s="6">
        <f t="shared" si="29"/>
        <v>194.44</v>
      </c>
    </row>
    <row r="792" spans="1:13" hidden="1" x14ac:dyDescent="0.35">
      <c r="A792">
        <f>'DASE DADOS - DISTANCIA'!A813</f>
        <v>0</v>
      </c>
      <c r="B792">
        <f>'DASE DADOS - DISTANCIA'!B813</f>
        <v>0</v>
      </c>
      <c r="C792">
        <f>'DASE DADOS - DISTANCIA'!C813</f>
        <v>0</v>
      </c>
      <c r="D792">
        <f>'DASE DADOS - DISTANCIA'!E813</f>
        <v>0</v>
      </c>
      <c r="E792">
        <f>'DASE DADOS - DISTANCIA'!I813</f>
        <v>0</v>
      </c>
      <c r="F792" s="7">
        <f>DISTÂNCIA3[[#This Row],[KM PARA PAGAMENTO DOS FRETES]]/2</f>
        <v>0</v>
      </c>
      <c r="G792">
        <f>'DASE DADOS - DISTANCIA'!J813</f>
        <v>0</v>
      </c>
      <c r="H792" s="2">
        <v>420</v>
      </c>
      <c r="I792" s="2" t="e">
        <f>IF(#REF!&lt;17200,DISTÂNCIA3[[#This Row],[KM PARA PAGAMENTO DOS FRETES]]*4.74,((#REF!/17200)*4.74)*DISTÂNCIA3[[#This Row],[KM PARA PAGAMENTO DOS FRETES]])</f>
        <v>#REF!</v>
      </c>
      <c r="J792" s="4" t="e">
        <f>DISTÂNCIA3[[#This Row],[Valor CTE]]/DISTÂNCIA3[[#This Row],[KM PARA PAGAMENTO DOS FRETES]]</f>
        <v>#DIV/0!</v>
      </c>
      <c r="K792" s="6">
        <f t="shared" si="28"/>
        <v>194.44</v>
      </c>
      <c r="L792" s="6">
        <f>0.92*DISTÂNCIA3[[#This Row],[KM distancia]]*4.578</f>
        <v>0</v>
      </c>
      <c r="M792" s="6">
        <f t="shared" si="29"/>
        <v>194.44</v>
      </c>
    </row>
    <row r="793" spans="1:13" hidden="1" x14ac:dyDescent="0.35">
      <c r="A793">
        <f>'DASE DADOS - DISTANCIA'!A814</f>
        <v>0</v>
      </c>
      <c r="B793">
        <f>'DASE DADOS - DISTANCIA'!B814</f>
        <v>0</v>
      </c>
      <c r="C793">
        <f>'DASE DADOS - DISTANCIA'!C814</f>
        <v>0</v>
      </c>
      <c r="D793">
        <f>'DASE DADOS - DISTANCIA'!E814</f>
        <v>0</v>
      </c>
      <c r="E793">
        <f>'DASE DADOS - DISTANCIA'!I814</f>
        <v>0</v>
      </c>
      <c r="F793" s="7">
        <f>DISTÂNCIA3[[#This Row],[KM PARA PAGAMENTO DOS FRETES]]/2</f>
        <v>0</v>
      </c>
      <c r="G793">
        <f>'DASE DADOS - DISTANCIA'!J814</f>
        <v>0</v>
      </c>
      <c r="H793" s="2">
        <v>420</v>
      </c>
      <c r="I793" s="2" t="e">
        <f>IF(#REF!&lt;17200,DISTÂNCIA3[[#This Row],[KM PARA PAGAMENTO DOS FRETES]]*4.74,((#REF!/17200)*4.74)*DISTÂNCIA3[[#This Row],[KM PARA PAGAMENTO DOS FRETES]])</f>
        <v>#REF!</v>
      </c>
      <c r="J793" s="4" t="e">
        <f>DISTÂNCIA3[[#This Row],[Valor CTE]]/DISTÂNCIA3[[#This Row],[KM PARA PAGAMENTO DOS FRETES]]</f>
        <v>#DIV/0!</v>
      </c>
      <c r="K793" s="6">
        <f t="shared" si="28"/>
        <v>194.44</v>
      </c>
      <c r="L793" s="6">
        <f>0.92*DISTÂNCIA3[[#This Row],[KM distancia]]*4.578</f>
        <v>0</v>
      </c>
      <c r="M793" s="6">
        <f t="shared" si="29"/>
        <v>194.44</v>
      </c>
    </row>
    <row r="794" spans="1:13" hidden="1" x14ac:dyDescent="0.35">
      <c r="A794">
        <f>'DASE DADOS - DISTANCIA'!A815</f>
        <v>0</v>
      </c>
      <c r="B794">
        <f>'DASE DADOS - DISTANCIA'!B815</f>
        <v>0</v>
      </c>
      <c r="C794">
        <f>'DASE DADOS - DISTANCIA'!C815</f>
        <v>0</v>
      </c>
      <c r="D794">
        <f>'DASE DADOS - DISTANCIA'!E815</f>
        <v>0</v>
      </c>
      <c r="E794">
        <f>'DASE DADOS - DISTANCIA'!I815</f>
        <v>0</v>
      </c>
      <c r="F794" s="7">
        <f>DISTÂNCIA3[[#This Row],[KM PARA PAGAMENTO DOS FRETES]]/2</f>
        <v>0</v>
      </c>
      <c r="G794">
        <f>'DASE DADOS - DISTANCIA'!J815</f>
        <v>0</v>
      </c>
      <c r="H794" s="2">
        <v>420</v>
      </c>
      <c r="I794" s="2" t="e">
        <f>IF(#REF!&lt;17200,DISTÂNCIA3[[#This Row],[KM PARA PAGAMENTO DOS FRETES]]*4.74,((#REF!/17200)*4.74)*DISTÂNCIA3[[#This Row],[KM PARA PAGAMENTO DOS FRETES]])</f>
        <v>#REF!</v>
      </c>
      <c r="J794" s="4" t="e">
        <f>DISTÂNCIA3[[#This Row],[Valor CTE]]/DISTÂNCIA3[[#This Row],[KM PARA PAGAMENTO DOS FRETES]]</f>
        <v>#DIV/0!</v>
      </c>
      <c r="K794" s="6">
        <f t="shared" si="28"/>
        <v>194.44</v>
      </c>
      <c r="L794" s="6">
        <f>0.92*DISTÂNCIA3[[#This Row],[KM distancia]]*4.578</f>
        <v>0</v>
      </c>
      <c r="M794" s="6">
        <f t="shared" si="29"/>
        <v>194.44</v>
      </c>
    </row>
    <row r="795" spans="1:13" hidden="1" x14ac:dyDescent="0.35">
      <c r="A795">
        <f>'DASE DADOS - DISTANCIA'!A816</f>
        <v>0</v>
      </c>
      <c r="B795">
        <f>'DASE DADOS - DISTANCIA'!B816</f>
        <v>0</v>
      </c>
      <c r="C795">
        <f>'DASE DADOS - DISTANCIA'!C816</f>
        <v>0</v>
      </c>
      <c r="D795">
        <f>'DASE DADOS - DISTANCIA'!E816</f>
        <v>0</v>
      </c>
      <c r="E795">
        <f>'DASE DADOS - DISTANCIA'!I816</f>
        <v>0</v>
      </c>
      <c r="F795" s="7">
        <f>DISTÂNCIA3[[#This Row],[KM PARA PAGAMENTO DOS FRETES]]/2</f>
        <v>0</v>
      </c>
      <c r="G795">
        <f>'DASE DADOS - DISTANCIA'!J816</f>
        <v>0</v>
      </c>
      <c r="H795" s="2">
        <v>420</v>
      </c>
      <c r="I795" s="2" t="e">
        <f>IF(#REF!&lt;17200,DISTÂNCIA3[[#This Row],[KM PARA PAGAMENTO DOS FRETES]]*4.74,((#REF!/17200)*4.74)*DISTÂNCIA3[[#This Row],[KM PARA PAGAMENTO DOS FRETES]])</f>
        <v>#REF!</v>
      </c>
      <c r="J795" s="4" t="e">
        <f>DISTÂNCIA3[[#This Row],[Valor CTE]]/DISTÂNCIA3[[#This Row],[KM PARA PAGAMENTO DOS FRETES]]</f>
        <v>#DIV/0!</v>
      </c>
      <c r="K795" s="6">
        <f t="shared" si="28"/>
        <v>194.44</v>
      </c>
      <c r="L795" s="6">
        <f>0.92*DISTÂNCIA3[[#This Row],[KM distancia]]*4.578</f>
        <v>0</v>
      </c>
      <c r="M795" s="6">
        <f t="shared" si="29"/>
        <v>194.44</v>
      </c>
    </row>
    <row r="796" spans="1:13" hidden="1" x14ac:dyDescent="0.35">
      <c r="A796">
        <f>'DASE DADOS - DISTANCIA'!A817</f>
        <v>0</v>
      </c>
      <c r="B796">
        <f>'DASE DADOS - DISTANCIA'!B817</f>
        <v>0</v>
      </c>
      <c r="C796">
        <f>'DASE DADOS - DISTANCIA'!C817</f>
        <v>0</v>
      </c>
      <c r="D796">
        <f>'DASE DADOS - DISTANCIA'!E817</f>
        <v>0</v>
      </c>
      <c r="E796">
        <f>'DASE DADOS - DISTANCIA'!I817</f>
        <v>0</v>
      </c>
      <c r="F796" s="7">
        <f>DISTÂNCIA3[[#This Row],[KM PARA PAGAMENTO DOS FRETES]]/2</f>
        <v>0</v>
      </c>
      <c r="G796">
        <f>'DASE DADOS - DISTANCIA'!J817</f>
        <v>0</v>
      </c>
      <c r="H796" s="2">
        <v>420</v>
      </c>
      <c r="I796" s="2" t="e">
        <f>IF(#REF!&lt;17200,DISTÂNCIA3[[#This Row],[KM PARA PAGAMENTO DOS FRETES]]*4.74,((#REF!/17200)*4.74)*DISTÂNCIA3[[#This Row],[KM PARA PAGAMENTO DOS FRETES]])</f>
        <v>#REF!</v>
      </c>
      <c r="J796" s="4" t="e">
        <f>DISTÂNCIA3[[#This Row],[Valor CTE]]/DISTÂNCIA3[[#This Row],[KM PARA PAGAMENTO DOS FRETES]]</f>
        <v>#DIV/0!</v>
      </c>
      <c r="K796" s="6">
        <f t="shared" si="28"/>
        <v>194.44</v>
      </c>
      <c r="L796" s="6">
        <f>0.92*DISTÂNCIA3[[#This Row],[KM distancia]]*4.578</f>
        <v>0</v>
      </c>
      <c r="M796" s="6">
        <f t="shared" si="29"/>
        <v>194.44</v>
      </c>
    </row>
    <row r="797" spans="1:13" hidden="1" x14ac:dyDescent="0.35">
      <c r="A797">
        <f>'DASE DADOS - DISTANCIA'!A818</f>
        <v>0</v>
      </c>
      <c r="B797">
        <f>'DASE DADOS - DISTANCIA'!B818</f>
        <v>0</v>
      </c>
      <c r="C797">
        <f>'DASE DADOS - DISTANCIA'!C818</f>
        <v>0</v>
      </c>
      <c r="D797">
        <f>'DASE DADOS - DISTANCIA'!E818</f>
        <v>0</v>
      </c>
      <c r="E797">
        <f>'DASE DADOS - DISTANCIA'!I818</f>
        <v>0</v>
      </c>
      <c r="F797" s="7">
        <f>DISTÂNCIA3[[#This Row],[KM PARA PAGAMENTO DOS FRETES]]/2</f>
        <v>0</v>
      </c>
      <c r="G797">
        <f>'DASE DADOS - DISTANCIA'!J818</f>
        <v>0</v>
      </c>
      <c r="H797" s="2">
        <v>420</v>
      </c>
      <c r="I797" s="2" t="e">
        <f>IF(#REF!&lt;17200,DISTÂNCIA3[[#This Row],[KM PARA PAGAMENTO DOS FRETES]]*4.74,((#REF!/17200)*4.74)*DISTÂNCIA3[[#This Row],[KM PARA PAGAMENTO DOS FRETES]])</f>
        <v>#REF!</v>
      </c>
      <c r="J797" s="4" t="e">
        <f>DISTÂNCIA3[[#This Row],[Valor CTE]]/DISTÂNCIA3[[#This Row],[KM PARA PAGAMENTO DOS FRETES]]</f>
        <v>#DIV/0!</v>
      </c>
      <c r="K797" s="6">
        <f t="shared" si="28"/>
        <v>194.44</v>
      </c>
      <c r="L797" s="6">
        <f>0.92*DISTÂNCIA3[[#This Row],[KM distancia]]*4.578</f>
        <v>0</v>
      </c>
      <c r="M797" s="6">
        <f t="shared" si="29"/>
        <v>194.44</v>
      </c>
    </row>
    <row r="798" spans="1:13" hidden="1" x14ac:dyDescent="0.35">
      <c r="A798">
        <f>'DASE DADOS - DISTANCIA'!A819</f>
        <v>0</v>
      </c>
      <c r="B798">
        <f>'DASE DADOS - DISTANCIA'!B819</f>
        <v>0</v>
      </c>
      <c r="C798">
        <f>'DASE DADOS - DISTANCIA'!C819</f>
        <v>0</v>
      </c>
      <c r="D798">
        <f>'DASE DADOS - DISTANCIA'!E819</f>
        <v>0</v>
      </c>
      <c r="E798">
        <f>'DASE DADOS - DISTANCIA'!I819</f>
        <v>0</v>
      </c>
      <c r="F798" s="7">
        <f>DISTÂNCIA3[[#This Row],[KM PARA PAGAMENTO DOS FRETES]]/2</f>
        <v>0</v>
      </c>
      <c r="G798">
        <f>'DASE DADOS - DISTANCIA'!J819</f>
        <v>0</v>
      </c>
      <c r="H798" s="2">
        <v>420</v>
      </c>
      <c r="I798" s="2" t="e">
        <f>IF(#REF!&lt;17200,DISTÂNCIA3[[#This Row],[KM PARA PAGAMENTO DOS FRETES]]*4.74,((#REF!/17200)*4.74)*DISTÂNCIA3[[#This Row],[KM PARA PAGAMENTO DOS FRETES]])</f>
        <v>#REF!</v>
      </c>
      <c r="J798" s="4" t="e">
        <f>DISTÂNCIA3[[#This Row],[Valor CTE]]/DISTÂNCIA3[[#This Row],[KM PARA PAGAMENTO DOS FRETES]]</f>
        <v>#DIV/0!</v>
      </c>
      <c r="K798" s="6">
        <f t="shared" si="28"/>
        <v>194.44</v>
      </c>
      <c r="L798" s="6">
        <f>0.92*DISTÂNCIA3[[#This Row],[KM distancia]]*4.578</f>
        <v>0</v>
      </c>
      <c r="M798" s="6">
        <f t="shared" si="29"/>
        <v>194.44</v>
      </c>
    </row>
    <row r="799" spans="1:13" hidden="1" x14ac:dyDescent="0.35">
      <c r="A799">
        <f>'DASE DADOS - DISTANCIA'!A820</f>
        <v>0</v>
      </c>
      <c r="B799">
        <f>'DASE DADOS - DISTANCIA'!B820</f>
        <v>0</v>
      </c>
      <c r="C799">
        <f>'DASE DADOS - DISTANCIA'!C820</f>
        <v>0</v>
      </c>
      <c r="D799">
        <f>'DASE DADOS - DISTANCIA'!E820</f>
        <v>0</v>
      </c>
      <c r="E799">
        <f>'DASE DADOS - DISTANCIA'!I820</f>
        <v>0</v>
      </c>
      <c r="F799" s="7">
        <f>DISTÂNCIA3[[#This Row],[KM PARA PAGAMENTO DOS FRETES]]/2</f>
        <v>0</v>
      </c>
      <c r="G799">
        <f>'DASE DADOS - DISTANCIA'!J820</f>
        <v>0</v>
      </c>
      <c r="H799" s="2">
        <v>420</v>
      </c>
      <c r="I799" s="2" t="e">
        <f>IF(#REF!&lt;17200,DISTÂNCIA3[[#This Row],[KM PARA PAGAMENTO DOS FRETES]]*4.74,((#REF!/17200)*4.74)*DISTÂNCIA3[[#This Row],[KM PARA PAGAMENTO DOS FRETES]])</f>
        <v>#REF!</v>
      </c>
      <c r="J799" s="4" t="e">
        <f>DISTÂNCIA3[[#This Row],[Valor CTE]]/DISTÂNCIA3[[#This Row],[KM PARA PAGAMENTO DOS FRETES]]</f>
        <v>#DIV/0!</v>
      </c>
      <c r="K799" s="6">
        <f t="shared" si="28"/>
        <v>194.44</v>
      </c>
      <c r="L799" s="6">
        <f>0.92*DISTÂNCIA3[[#This Row],[KM distancia]]*4.578</f>
        <v>0</v>
      </c>
      <c r="M799" s="6">
        <f t="shared" si="29"/>
        <v>194.44</v>
      </c>
    </row>
    <row r="800" spans="1:13" hidden="1" x14ac:dyDescent="0.35">
      <c r="A800">
        <f>'DASE DADOS - DISTANCIA'!A821</f>
        <v>0</v>
      </c>
      <c r="B800">
        <f>'DASE DADOS - DISTANCIA'!B821</f>
        <v>0</v>
      </c>
      <c r="C800">
        <f>'DASE DADOS - DISTANCIA'!C821</f>
        <v>0</v>
      </c>
      <c r="D800">
        <f>'DASE DADOS - DISTANCIA'!E821</f>
        <v>0</v>
      </c>
      <c r="E800">
        <f>'DASE DADOS - DISTANCIA'!I821</f>
        <v>0</v>
      </c>
      <c r="F800" s="7">
        <f>DISTÂNCIA3[[#This Row],[KM PARA PAGAMENTO DOS FRETES]]/2</f>
        <v>0</v>
      </c>
      <c r="G800">
        <f>'DASE DADOS - DISTANCIA'!J821</f>
        <v>0</v>
      </c>
      <c r="H800" s="2">
        <v>420</v>
      </c>
      <c r="I800" s="2" t="e">
        <f>IF(#REF!&lt;17200,DISTÂNCIA3[[#This Row],[KM PARA PAGAMENTO DOS FRETES]]*4.74,((#REF!/17200)*4.74)*DISTÂNCIA3[[#This Row],[KM PARA PAGAMENTO DOS FRETES]])</f>
        <v>#REF!</v>
      </c>
      <c r="J800" s="4" t="e">
        <f>DISTÂNCIA3[[#This Row],[Valor CTE]]/DISTÂNCIA3[[#This Row],[KM PARA PAGAMENTO DOS FRETES]]</f>
        <v>#DIV/0!</v>
      </c>
      <c r="K800" s="6">
        <f t="shared" si="28"/>
        <v>194.44</v>
      </c>
      <c r="L800" s="6">
        <f>0.92*DISTÂNCIA3[[#This Row],[KM distancia]]*4.578</f>
        <v>0</v>
      </c>
      <c r="M800" s="6">
        <f t="shared" si="29"/>
        <v>194.44</v>
      </c>
    </row>
    <row r="801" spans="1:13" hidden="1" x14ac:dyDescent="0.35">
      <c r="A801">
        <f>'DASE DADOS - DISTANCIA'!A822</f>
        <v>0</v>
      </c>
      <c r="B801">
        <f>'DASE DADOS - DISTANCIA'!B822</f>
        <v>0</v>
      </c>
      <c r="C801">
        <f>'DASE DADOS - DISTANCIA'!C822</f>
        <v>0</v>
      </c>
      <c r="D801">
        <f>'DASE DADOS - DISTANCIA'!E822</f>
        <v>0</v>
      </c>
      <c r="E801">
        <f>'DASE DADOS - DISTANCIA'!I822</f>
        <v>0</v>
      </c>
      <c r="F801" s="7">
        <f>DISTÂNCIA3[[#This Row],[KM PARA PAGAMENTO DOS FRETES]]/2</f>
        <v>0</v>
      </c>
      <c r="G801">
        <f>'DASE DADOS - DISTANCIA'!J822</f>
        <v>0</v>
      </c>
      <c r="H801" s="2">
        <v>420</v>
      </c>
      <c r="I801" s="2" t="e">
        <f>IF(#REF!&lt;17200,DISTÂNCIA3[[#This Row],[KM PARA PAGAMENTO DOS FRETES]]*4.74,((#REF!/17200)*4.74)*DISTÂNCIA3[[#This Row],[KM PARA PAGAMENTO DOS FRETES]])</f>
        <v>#REF!</v>
      </c>
      <c r="J801" s="4" t="e">
        <f>DISTÂNCIA3[[#This Row],[Valor CTE]]/DISTÂNCIA3[[#This Row],[KM PARA PAGAMENTO DOS FRETES]]</f>
        <v>#DIV/0!</v>
      </c>
      <c r="K801" s="6">
        <f t="shared" si="28"/>
        <v>194.44</v>
      </c>
      <c r="L801" s="6">
        <f>0.92*DISTÂNCIA3[[#This Row],[KM distancia]]*4.578</f>
        <v>0</v>
      </c>
      <c r="M801" s="6">
        <f t="shared" si="29"/>
        <v>194.44</v>
      </c>
    </row>
    <row r="802" spans="1:13" hidden="1" x14ac:dyDescent="0.35">
      <c r="A802">
        <f>'DASE DADOS - DISTANCIA'!A823</f>
        <v>0</v>
      </c>
      <c r="B802">
        <f>'DASE DADOS - DISTANCIA'!B823</f>
        <v>0</v>
      </c>
      <c r="C802">
        <f>'DASE DADOS - DISTANCIA'!C823</f>
        <v>0</v>
      </c>
      <c r="D802">
        <f>'DASE DADOS - DISTANCIA'!E823</f>
        <v>0</v>
      </c>
      <c r="E802">
        <f>'DASE DADOS - DISTANCIA'!I823</f>
        <v>0</v>
      </c>
      <c r="F802" s="7">
        <f>DISTÂNCIA3[[#This Row],[KM PARA PAGAMENTO DOS FRETES]]/2</f>
        <v>0</v>
      </c>
      <c r="G802">
        <f>'DASE DADOS - DISTANCIA'!J823</f>
        <v>0</v>
      </c>
      <c r="H802" s="2">
        <v>420</v>
      </c>
      <c r="I802" s="2" t="e">
        <f>IF(#REF!&lt;17200,DISTÂNCIA3[[#This Row],[KM PARA PAGAMENTO DOS FRETES]]*4.74,((#REF!/17200)*4.74)*DISTÂNCIA3[[#This Row],[KM PARA PAGAMENTO DOS FRETES]])</f>
        <v>#REF!</v>
      </c>
      <c r="J802" s="4" t="e">
        <f>DISTÂNCIA3[[#This Row],[Valor CTE]]/DISTÂNCIA3[[#This Row],[KM PARA PAGAMENTO DOS FRETES]]</f>
        <v>#DIV/0!</v>
      </c>
      <c r="K802" s="6">
        <f t="shared" si="28"/>
        <v>194.44</v>
      </c>
      <c r="L802" s="6">
        <f>0.92*DISTÂNCIA3[[#This Row],[KM distancia]]*4.578</f>
        <v>0</v>
      </c>
      <c r="M802" s="6">
        <f t="shared" si="29"/>
        <v>194.44</v>
      </c>
    </row>
    <row r="803" spans="1:13" hidden="1" x14ac:dyDescent="0.35">
      <c r="A803">
        <f>'DASE DADOS - DISTANCIA'!A824</f>
        <v>0</v>
      </c>
      <c r="B803">
        <f>'DASE DADOS - DISTANCIA'!B824</f>
        <v>0</v>
      </c>
      <c r="C803">
        <f>'DASE DADOS - DISTANCIA'!C824</f>
        <v>0</v>
      </c>
      <c r="D803">
        <f>'DASE DADOS - DISTANCIA'!E824</f>
        <v>0</v>
      </c>
      <c r="E803">
        <f>'DASE DADOS - DISTANCIA'!I824</f>
        <v>0</v>
      </c>
      <c r="F803" s="7">
        <f>DISTÂNCIA3[[#This Row],[KM PARA PAGAMENTO DOS FRETES]]/2</f>
        <v>0</v>
      </c>
      <c r="G803">
        <f>'DASE DADOS - DISTANCIA'!J824</f>
        <v>0</v>
      </c>
      <c r="H803" s="2">
        <v>420</v>
      </c>
      <c r="I803" s="2" t="e">
        <f>IF(#REF!&lt;17200,DISTÂNCIA3[[#This Row],[KM PARA PAGAMENTO DOS FRETES]]*4.74,((#REF!/17200)*4.74)*DISTÂNCIA3[[#This Row],[KM PARA PAGAMENTO DOS FRETES]])</f>
        <v>#REF!</v>
      </c>
      <c r="J803" s="4" t="e">
        <f>DISTÂNCIA3[[#This Row],[Valor CTE]]/DISTÂNCIA3[[#This Row],[KM PARA PAGAMENTO DOS FRETES]]</f>
        <v>#DIV/0!</v>
      </c>
      <c r="K803" s="6">
        <f t="shared" si="28"/>
        <v>194.44</v>
      </c>
      <c r="L803" s="6">
        <f>0.92*DISTÂNCIA3[[#This Row],[KM distancia]]*4.578</f>
        <v>0</v>
      </c>
      <c r="M803" s="6">
        <f t="shared" si="29"/>
        <v>194.44</v>
      </c>
    </row>
    <row r="804" spans="1:13" hidden="1" x14ac:dyDescent="0.35">
      <c r="A804">
        <f>'DASE DADOS - DISTANCIA'!A825</f>
        <v>0</v>
      </c>
      <c r="B804">
        <f>'DASE DADOS - DISTANCIA'!B825</f>
        <v>0</v>
      </c>
      <c r="C804">
        <f>'DASE DADOS - DISTANCIA'!C825</f>
        <v>0</v>
      </c>
      <c r="D804">
        <f>'DASE DADOS - DISTANCIA'!E825</f>
        <v>0</v>
      </c>
      <c r="E804">
        <f>'DASE DADOS - DISTANCIA'!I825</f>
        <v>0</v>
      </c>
      <c r="F804" s="7">
        <f>DISTÂNCIA3[[#This Row],[KM PARA PAGAMENTO DOS FRETES]]/2</f>
        <v>0</v>
      </c>
      <c r="G804">
        <f>'DASE DADOS - DISTANCIA'!J825</f>
        <v>0</v>
      </c>
      <c r="H804" s="2">
        <v>420</v>
      </c>
      <c r="I804" s="2" t="e">
        <f>IF(#REF!&lt;17200,DISTÂNCIA3[[#This Row],[KM PARA PAGAMENTO DOS FRETES]]*4.74,((#REF!/17200)*4.74)*DISTÂNCIA3[[#This Row],[KM PARA PAGAMENTO DOS FRETES]])</f>
        <v>#REF!</v>
      </c>
      <c r="J804" s="4" t="e">
        <f>DISTÂNCIA3[[#This Row],[Valor CTE]]/DISTÂNCIA3[[#This Row],[KM PARA PAGAMENTO DOS FRETES]]</f>
        <v>#DIV/0!</v>
      </c>
      <c r="K804" s="6">
        <f t="shared" si="28"/>
        <v>194.44</v>
      </c>
      <c r="L804" s="6">
        <f>0.92*DISTÂNCIA3[[#This Row],[KM distancia]]*4.578</f>
        <v>0</v>
      </c>
      <c r="M804" s="6">
        <f t="shared" si="29"/>
        <v>194.44</v>
      </c>
    </row>
    <row r="805" spans="1:13" hidden="1" x14ac:dyDescent="0.35">
      <c r="A805">
        <f>'DASE DADOS - DISTANCIA'!A826</f>
        <v>0</v>
      </c>
      <c r="B805">
        <f>'DASE DADOS - DISTANCIA'!B826</f>
        <v>0</v>
      </c>
      <c r="C805">
        <f>'DASE DADOS - DISTANCIA'!C826</f>
        <v>0</v>
      </c>
      <c r="D805">
        <f>'DASE DADOS - DISTANCIA'!E826</f>
        <v>0</v>
      </c>
      <c r="E805">
        <f>'DASE DADOS - DISTANCIA'!I826</f>
        <v>0</v>
      </c>
      <c r="F805" s="7">
        <f>DISTÂNCIA3[[#This Row],[KM PARA PAGAMENTO DOS FRETES]]/2</f>
        <v>0</v>
      </c>
      <c r="G805">
        <f>'DASE DADOS - DISTANCIA'!J826</f>
        <v>0</v>
      </c>
      <c r="H805" s="2">
        <v>420</v>
      </c>
      <c r="I805" s="2" t="e">
        <f>IF(#REF!&lt;17200,DISTÂNCIA3[[#This Row],[KM PARA PAGAMENTO DOS FRETES]]*4.74,((#REF!/17200)*4.74)*DISTÂNCIA3[[#This Row],[KM PARA PAGAMENTO DOS FRETES]])</f>
        <v>#REF!</v>
      </c>
      <c r="J805" s="4" t="e">
        <f>DISTÂNCIA3[[#This Row],[Valor CTE]]/DISTÂNCIA3[[#This Row],[KM PARA PAGAMENTO DOS FRETES]]</f>
        <v>#DIV/0!</v>
      </c>
      <c r="K805" s="6">
        <f t="shared" si="28"/>
        <v>194.44</v>
      </c>
      <c r="L805" s="6">
        <f>0.92*DISTÂNCIA3[[#This Row],[KM distancia]]*4.578</f>
        <v>0</v>
      </c>
      <c r="M805" s="6">
        <f t="shared" si="29"/>
        <v>194.44</v>
      </c>
    </row>
    <row r="806" spans="1:13" hidden="1" x14ac:dyDescent="0.35">
      <c r="A806">
        <f>'DASE DADOS - DISTANCIA'!A827</f>
        <v>0</v>
      </c>
      <c r="B806">
        <f>'DASE DADOS - DISTANCIA'!B827</f>
        <v>0</v>
      </c>
      <c r="C806">
        <f>'DASE DADOS - DISTANCIA'!C827</f>
        <v>0</v>
      </c>
      <c r="D806">
        <f>'DASE DADOS - DISTANCIA'!E827</f>
        <v>0</v>
      </c>
      <c r="E806">
        <f>'DASE DADOS - DISTANCIA'!I827</f>
        <v>0</v>
      </c>
      <c r="F806" s="7">
        <f>DISTÂNCIA3[[#This Row],[KM PARA PAGAMENTO DOS FRETES]]/2</f>
        <v>0</v>
      </c>
      <c r="G806">
        <f>'DASE DADOS - DISTANCIA'!J827</f>
        <v>0</v>
      </c>
      <c r="H806" s="2">
        <v>420</v>
      </c>
      <c r="I806" s="2" t="e">
        <f>IF(#REF!&lt;17200,DISTÂNCIA3[[#This Row],[KM PARA PAGAMENTO DOS FRETES]]*4.74,((#REF!/17200)*4.74)*DISTÂNCIA3[[#This Row],[KM PARA PAGAMENTO DOS FRETES]])</f>
        <v>#REF!</v>
      </c>
      <c r="J806" s="4" t="e">
        <f>DISTÂNCIA3[[#This Row],[Valor CTE]]/DISTÂNCIA3[[#This Row],[KM PARA PAGAMENTO DOS FRETES]]</f>
        <v>#DIV/0!</v>
      </c>
      <c r="K806" s="6">
        <f t="shared" si="28"/>
        <v>194.44</v>
      </c>
      <c r="L806" s="6">
        <f>0.92*DISTÂNCIA3[[#This Row],[KM distancia]]*4.578</f>
        <v>0</v>
      </c>
      <c r="M806" s="6">
        <f t="shared" si="29"/>
        <v>194.44</v>
      </c>
    </row>
    <row r="807" spans="1:13" hidden="1" x14ac:dyDescent="0.35">
      <c r="A807">
        <f>'DASE DADOS - DISTANCIA'!A828</f>
        <v>0</v>
      </c>
      <c r="B807">
        <f>'DASE DADOS - DISTANCIA'!B828</f>
        <v>0</v>
      </c>
      <c r="C807">
        <f>'DASE DADOS - DISTANCIA'!C828</f>
        <v>0</v>
      </c>
      <c r="D807">
        <f>'DASE DADOS - DISTANCIA'!E828</f>
        <v>0</v>
      </c>
      <c r="E807">
        <f>'DASE DADOS - DISTANCIA'!I828</f>
        <v>0</v>
      </c>
      <c r="F807" s="7">
        <f>DISTÂNCIA3[[#This Row],[KM PARA PAGAMENTO DOS FRETES]]/2</f>
        <v>0</v>
      </c>
      <c r="G807">
        <f>'DASE DADOS - DISTANCIA'!J828</f>
        <v>0</v>
      </c>
      <c r="H807" s="2">
        <v>420</v>
      </c>
      <c r="I807" s="2" t="e">
        <f>IF(#REF!&lt;17200,DISTÂNCIA3[[#This Row],[KM PARA PAGAMENTO DOS FRETES]]*4.74,((#REF!/17200)*4.74)*DISTÂNCIA3[[#This Row],[KM PARA PAGAMENTO DOS FRETES]])</f>
        <v>#REF!</v>
      </c>
      <c r="J807" s="4" t="e">
        <f>DISTÂNCIA3[[#This Row],[Valor CTE]]/DISTÂNCIA3[[#This Row],[KM PARA PAGAMENTO DOS FRETES]]</f>
        <v>#DIV/0!</v>
      </c>
      <c r="K807" s="6">
        <f t="shared" si="28"/>
        <v>194.44</v>
      </c>
      <c r="L807" s="6">
        <f>0.92*DISTÂNCIA3[[#This Row],[KM distancia]]*4.578</f>
        <v>0</v>
      </c>
      <c r="M807" s="6">
        <f t="shared" si="29"/>
        <v>194.44</v>
      </c>
    </row>
    <row r="808" spans="1:13" hidden="1" x14ac:dyDescent="0.35">
      <c r="A808">
        <f>'DASE DADOS - DISTANCIA'!A829</f>
        <v>0</v>
      </c>
      <c r="B808">
        <f>'DASE DADOS - DISTANCIA'!B829</f>
        <v>0</v>
      </c>
      <c r="C808">
        <f>'DASE DADOS - DISTANCIA'!C829</f>
        <v>0</v>
      </c>
      <c r="D808">
        <f>'DASE DADOS - DISTANCIA'!E829</f>
        <v>0</v>
      </c>
      <c r="E808">
        <f>'DASE DADOS - DISTANCIA'!I829</f>
        <v>0</v>
      </c>
      <c r="F808" s="7">
        <f>DISTÂNCIA3[[#This Row],[KM PARA PAGAMENTO DOS FRETES]]/2</f>
        <v>0</v>
      </c>
      <c r="G808">
        <f>'DASE DADOS - DISTANCIA'!J829</f>
        <v>0</v>
      </c>
      <c r="H808" s="2">
        <v>420</v>
      </c>
      <c r="I808" s="2" t="e">
        <f>IF(#REF!&lt;17200,DISTÂNCIA3[[#This Row],[KM PARA PAGAMENTO DOS FRETES]]*4.74,((#REF!/17200)*4.74)*DISTÂNCIA3[[#This Row],[KM PARA PAGAMENTO DOS FRETES]])</f>
        <v>#REF!</v>
      </c>
      <c r="J808" s="4" t="e">
        <f>DISTÂNCIA3[[#This Row],[Valor CTE]]/DISTÂNCIA3[[#This Row],[KM PARA PAGAMENTO DOS FRETES]]</f>
        <v>#DIV/0!</v>
      </c>
      <c r="K808" s="6">
        <f t="shared" si="28"/>
        <v>194.44</v>
      </c>
      <c r="L808" s="6">
        <f>0.92*DISTÂNCIA3[[#This Row],[KM distancia]]*4.578</f>
        <v>0</v>
      </c>
      <c r="M808" s="6">
        <f t="shared" si="29"/>
        <v>194.44</v>
      </c>
    </row>
    <row r="809" spans="1:13" hidden="1" x14ac:dyDescent="0.35">
      <c r="A809">
        <f>'DASE DADOS - DISTANCIA'!A830</f>
        <v>0</v>
      </c>
      <c r="B809">
        <f>'DASE DADOS - DISTANCIA'!B830</f>
        <v>0</v>
      </c>
      <c r="C809">
        <f>'DASE DADOS - DISTANCIA'!C830</f>
        <v>0</v>
      </c>
      <c r="D809">
        <f>'DASE DADOS - DISTANCIA'!E830</f>
        <v>0</v>
      </c>
      <c r="E809">
        <f>'DASE DADOS - DISTANCIA'!I830</f>
        <v>0</v>
      </c>
      <c r="F809" s="7">
        <f>DISTÂNCIA3[[#This Row],[KM PARA PAGAMENTO DOS FRETES]]/2</f>
        <v>0</v>
      </c>
      <c r="G809">
        <f>'DASE DADOS - DISTANCIA'!J830</f>
        <v>0</v>
      </c>
      <c r="H809" s="2">
        <v>420</v>
      </c>
      <c r="I809" s="2" t="e">
        <f>IF(#REF!&lt;17200,DISTÂNCIA3[[#This Row],[KM PARA PAGAMENTO DOS FRETES]]*4.74,((#REF!/17200)*4.74)*DISTÂNCIA3[[#This Row],[KM PARA PAGAMENTO DOS FRETES]])</f>
        <v>#REF!</v>
      </c>
      <c r="J809" s="4" t="e">
        <f>DISTÂNCIA3[[#This Row],[Valor CTE]]/DISTÂNCIA3[[#This Row],[KM PARA PAGAMENTO DOS FRETES]]</f>
        <v>#DIV/0!</v>
      </c>
      <c r="K809" s="6">
        <f t="shared" si="28"/>
        <v>194.44</v>
      </c>
      <c r="L809" s="6">
        <f>0.92*DISTÂNCIA3[[#This Row],[KM distancia]]*4.578</f>
        <v>0</v>
      </c>
      <c r="M809" s="6">
        <f t="shared" si="29"/>
        <v>194.44</v>
      </c>
    </row>
    <row r="810" spans="1:13" hidden="1" x14ac:dyDescent="0.35">
      <c r="A810">
        <f>'DASE DADOS - DISTANCIA'!A831</f>
        <v>0</v>
      </c>
      <c r="B810">
        <f>'DASE DADOS - DISTANCIA'!B831</f>
        <v>0</v>
      </c>
      <c r="C810">
        <f>'DASE DADOS - DISTANCIA'!C831</f>
        <v>0</v>
      </c>
      <c r="D810">
        <f>'DASE DADOS - DISTANCIA'!E831</f>
        <v>0</v>
      </c>
      <c r="E810">
        <f>'DASE DADOS - DISTANCIA'!I831</f>
        <v>0</v>
      </c>
      <c r="F810" s="7">
        <f>DISTÂNCIA3[[#This Row],[KM PARA PAGAMENTO DOS FRETES]]/2</f>
        <v>0</v>
      </c>
      <c r="G810">
        <f>'DASE DADOS - DISTANCIA'!J831</f>
        <v>0</v>
      </c>
      <c r="H810" s="2">
        <v>420</v>
      </c>
      <c r="I810" s="2" t="e">
        <f>IF(#REF!&lt;17200,DISTÂNCIA3[[#This Row],[KM PARA PAGAMENTO DOS FRETES]]*4.74,((#REF!/17200)*4.74)*DISTÂNCIA3[[#This Row],[KM PARA PAGAMENTO DOS FRETES]])</f>
        <v>#REF!</v>
      </c>
      <c r="J810" s="4" t="e">
        <f>DISTÂNCIA3[[#This Row],[Valor CTE]]/DISTÂNCIA3[[#This Row],[KM PARA PAGAMENTO DOS FRETES]]</f>
        <v>#DIV/0!</v>
      </c>
      <c r="K810" s="6">
        <f t="shared" si="28"/>
        <v>194.44</v>
      </c>
      <c r="L810" s="6">
        <f>0.92*DISTÂNCIA3[[#This Row],[KM distancia]]*4.578</f>
        <v>0</v>
      </c>
      <c r="M810" s="6">
        <f t="shared" si="29"/>
        <v>194.44</v>
      </c>
    </row>
    <row r="811" spans="1:13" hidden="1" x14ac:dyDescent="0.35">
      <c r="A811">
        <f>'DASE DADOS - DISTANCIA'!A832</f>
        <v>0</v>
      </c>
      <c r="B811">
        <f>'DASE DADOS - DISTANCIA'!B832</f>
        <v>0</v>
      </c>
      <c r="C811">
        <f>'DASE DADOS - DISTANCIA'!C832</f>
        <v>0</v>
      </c>
      <c r="D811">
        <f>'DASE DADOS - DISTANCIA'!E832</f>
        <v>0</v>
      </c>
      <c r="E811">
        <f>'DASE DADOS - DISTANCIA'!I832</f>
        <v>0</v>
      </c>
      <c r="F811" s="7">
        <f>DISTÂNCIA3[[#This Row],[KM PARA PAGAMENTO DOS FRETES]]/2</f>
        <v>0</v>
      </c>
      <c r="G811">
        <f>'DASE DADOS - DISTANCIA'!J832</f>
        <v>0</v>
      </c>
      <c r="H811" s="2">
        <v>420</v>
      </c>
      <c r="I811" s="2" t="e">
        <f>IF(#REF!&lt;17200,DISTÂNCIA3[[#This Row],[KM PARA PAGAMENTO DOS FRETES]]*4.74,((#REF!/17200)*4.74)*DISTÂNCIA3[[#This Row],[KM PARA PAGAMENTO DOS FRETES]])</f>
        <v>#REF!</v>
      </c>
      <c r="J811" s="4" t="e">
        <f>DISTÂNCIA3[[#This Row],[Valor CTE]]/DISTÂNCIA3[[#This Row],[KM PARA PAGAMENTO DOS FRETES]]</f>
        <v>#DIV/0!</v>
      </c>
      <c r="K811" s="6">
        <f t="shared" si="28"/>
        <v>194.44</v>
      </c>
      <c r="L811" s="6">
        <f>0.92*DISTÂNCIA3[[#This Row],[KM distancia]]*4.578</f>
        <v>0</v>
      </c>
      <c r="M811" s="6">
        <f t="shared" si="29"/>
        <v>194.44</v>
      </c>
    </row>
    <row r="812" spans="1:13" hidden="1" x14ac:dyDescent="0.35">
      <c r="A812" s="12"/>
      <c r="B812" s="13" t="s">
        <v>1651</v>
      </c>
      <c r="C812" s="13" t="s">
        <v>277</v>
      </c>
      <c r="D812" s="13" t="s">
        <v>915</v>
      </c>
      <c r="E812" s="13" t="s">
        <v>1652</v>
      </c>
      <c r="F812" s="7">
        <v>57</v>
      </c>
      <c r="H812" s="2"/>
      <c r="I812" s="2" t="e">
        <f>IF(#REF!&lt;17200,DISTÂNCIA3[[#This Row],[KM PARA PAGAMENTO DOS FRETES]]*4.74,((#REF!/17200)*4.74)*DISTÂNCIA3[[#This Row],[KM PARA PAGAMENTO DOS FRETES]])</f>
        <v>#REF!</v>
      </c>
      <c r="J812" s="14" t="e">
        <f>DISTÂNCIA3[[#This Row],[Valor CTE]]/DISTÂNCIA3[[#This Row],[KM PARA PAGAMENTO DOS FRETES]]</f>
        <v>#DIV/0!</v>
      </c>
      <c r="K812" s="15">
        <f>ROUND((F812*4.578)+194.44,2)</f>
        <v>455.39</v>
      </c>
      <c r="L812" s="15">
        <f>0.92*DISTÂNCIA3[[#This Row],[KM distancia]]*4.578</f>
        <v>240.07032000000004</v>
      </c>
      <c r="M812" s="15">
        <f>ROUND(((F812*4.578)+194.44)+(0.92*F812*4.578),2)</f>
        <v>695.46</v>
      </c>
    </row>
    <row r="813" spans="1:13" hidden="1" x14ac:dyDescent="0.35">
      <c r="A813" s="12"/>
      <c r="B813" s="13" t="s">
        <v>1651</v>
      </c>
      <c r="C813" s="13" t="s">
        <v>281</v>
      </c>
      <c r="D813" s="13" t="s">
        <v>915</v>
      </c>
      <c r="E813" s="13" t="s">
        <v>1652</v>
      </c>
      <c r="F813" s="7">
        <v>57</v>
      </c>
      <c r="H813" s="2"/>
      <c r="I813" s="2" t="e">
        <f>IF(#REF!&lt;17200,DISTÂNCIA3[[#This Row],[KM PARA PAGAMENTO DOS FRETES]]*4.74,((#REF!/17200)*4.74)*DISTÂNCIA3[[#This Row],[KM PARA PAGAMENTO DOS FRETES]])</f>
        <v>#REF!</v>
      </c>
      <c r="J813" s="14" t="e">
        <f>DISTÂNCIA3[[#This Row],[Valor CTE]]/DISTÂNCIA3[[#This Row],[KM PARA PAGAMENTO DOS FRETES]]</f>
        <v>#DIV/0!</v>
      </c>
      <c r="K813" s="15">
        <f>ROUND((F813*4.578)+194.44,2)</f>
        <v>455.39</v>
      </c>
      <c r="L813" s="15">
        <f>0.92*DISTÂNCIA3[[#This Row],[KM distancia]]*4.578</f>
        <v>240.07032000000004</v>
      </c>
      <c r="M813" s="15">
        <f>ROUND(((F813*4.578)+194.44)+(0.92*F813*4.578),2)</f>
        <v>695.46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0BB9AF-2EBB-4E19-A41F-154ED669F7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DASE DADOS - DISTANCIA</vt:lpstr>
      <vt:lpstr>Tabela 1</vt:lpstr>
      <vt:lpstr>CALCULO CTE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Brandes || Fab. Ração || Levo Cascavel</dc:creator>
  <cp:keywords/>
  <dc:description/>
  <cp:lastModifiedBy>Balança || Levo Cascavel</cp:lastModifiedBy>
  <cp:revision/>
  <dcterms:created xsi:type="dcterms:W3CDTF">2026-05-25T14:01:36Z</dcterms:created>
  <dcterms:modified xsi:type="dcterms:W3CDTF">2026-07-23T05:21:58Z</dcterms:modified>
  <cp:category/>
  <cp:contentStatus/>
</cp:coreProperties>
</file>